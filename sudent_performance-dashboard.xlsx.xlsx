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99710432c689a61b/Documents/"/>
    </mc:Choice>
  </mc:AlternateContent>
  <xr:revisionPtr revIDLastSave="702" documentId="8_{11BD8437-595B-4AB5-8C1E-174AC3308E6C}" xr6:coauthVersionLast="47" xr6:coauthVersionMax="47" xr10:uidLastSave="{CA1F3CC6-C07D-4C3A-9A90-8BB8F5ACBA58}"/>
  <bookViews>
    <workbookView xWindow="-108" yWindow="-108" windowWidth="23256" windowHeight="12456" xr2:uid="{C8011C2F-69B2-430D-A0AB-B157D6616392}"/>
  </bookViews>
  <sheets>
    <sheet name="student performance" sheetId="2" r:id="rId1"/>
    <sheet name="sheet1" sheetId="5" r:id="rId2"/>
    <sheet name="Dash board" sheetId="6" r:id="rId3"/>
  </sheets>
  <definedNames>
    <definedName name="_xlnm._FilterDatabase" localSheetId="0" hidden="1">'student performance'!$A$1:$G$21</definedName>
    <definedName name="Slicer_Attendanc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2" l="1"/>
  <c r="H20" i="2"/>
  <c r="H19" i="2"/>
  <c r="H18" i="2"/>
  <c r="H17" i="2"/>
  <c r="H16" i="2"/>
  <c r="H15" i="2"/>
  <c r="H14" i="2"/>
  <c r="H13" i="2"/>
  <c r="H12" i="2"/>
  <c r="H11" i="2"/>
  <c r="H10" i="2"/>
  <c r="H9" i="2"/>
  <c r="H8" i="2"/>
  <c r="H7" i="2"/>
  <c r="H6" i="2"/>
  <c r="H5" i="2"/>
  <c r="H4" i="2"/>
  <c r="H3" i="2"/>
  <c r="H2" i="2"/>
</calcChain>
</file>

<file path=xl/sharedStrings.xml><?xml version="1.0" encoding="utf-8"?>
<sst xmlns="http://schemas.openxmlformats.org/spreadsheetml/2006/main" count="101" uniqueCount="44">
  <si>
    <t>Student ID</t>
  </si>
  <si>
    <t>Student Name</t>
  </si>
  <si>
    <t>Economics Course</t>
  </si>
  <si>
    <t>Sleep Hours</t>
  </si>
  <si>
    <t>Study Hours</t>
  </si>
  <si>
    <t>Grade</t>
  </si>
  <si>
    <t>Ananya</t>
  </si>
  <si>
    <t>Economics</t>
  </si>
  <si>
    <t>Rahul</t>
  </si>
  <si>
    <t>Priya</t>
  </si>
  <si>
    <t>Arjun</t>
  </si>
  <si>
    <t>Sneha</t>
  </si>
  <si>
    <t>Kiran</t>
  </si>
  <si>
    <t>Divya</t>
  </si>
  <si>
    <t>Rohit</t>
  </si>
  <si>
    <t>Varun</t>
  </si>
  <si>
    <t>Keerthi</t>
  </si>
  <si>
    <t>Sai</t>
  </si>
  <si>
    <t>Meena</t>
  </si>
  <si>
    <t>Aditya</t>
  </si>
  <si>
    <t>Lakshmi</t>
  </si>
  <si>
    <t>Naveen</t>
  </si>
  <si>
    <t>Harini</t>
  </si>
  <si>
    <t>Ajay</t>
  </si>
  <si>
    <t>Swathi</t>
  </si>
  <si>
    <t>Manoj</t>
  </si>
  <si>
    <t>Attendance %</t>
  </si>
  <si>
    <t>A</t>
  </si>
  <si>
    <t>B</t>
  </si>
  <si>
    <t>C</t>
  </si>
  <si>
    <t>A+</t>
  </si>
  <si>
    <t>Pooja</t>
  </si>
  <si>
    <t>pass/fail</t>
  </si>
  <si>
    <t>Row Labels</t>
  </si>
  <si>
    <t>Grand Total</t>
  </si>
  <si>
    <t>Average of Study Hours</t>
  </si>
  <si>
    <t>Average study hours vs grades</t>
  </si>
  <si>
    <t>Average sleep hours vs Grade</t>
  </si>
  <si>
    <t>Average of Sleep Hours</t>
  </si>
  <si>
    <t>Average attendence by grade</t>
  </si>
  <si>
    <t>Average of Attendance %</t>
  </si>
  <si>
    <t>Number of students vs Grade</t>
  </si>
  <si>
    <t>Count of Student Name</t>
  </si>
  <si>
    <t>STUDENT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</si>
</sst>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28"/>
      <color theme="1"/>
      <name val="Aptos Narrow"/>
      <family val="2"/>
      <scheme val="minor"/>
    </font>
  </fonts>
  <fills count="3">
    <fill>
      <patternFill patternType="none"/>
    </fill>
    <fill>
      <patternFill patternType="gray125"/>
    </fill>
    <fill>
      <patternFill patternType="solid">
        <fgColor rgb="FFFFCE3C"/>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wrapText="1"/>
    </xf>
    <xf numFmtId="0" fontId="0" fillId="0" borderId="0" xfId="0" applyAlignment="1">
      <alignment horizontal="center" wrapText="1"/>
    </xf>
    <xf numFmtId="4" fontId="0" fillId="0" borderId="0" xfId="0" applyNumberFormat="1" applyAlignment="1">
      <alignment horizontal="center" wrapText="1"/>
    </xf>
    <xf numFmtId="0" fontId="0" fillId="0" borderId="0" xfId="0" applyAlignment="1">
      <alignment horizontal="left"/>
    </xf>
    <xf numFmtId="0" fontId="0" fillId="0" borderId="0" xfId="0" applyAlignment="1">
      <alignment horizontal="center" vertical="center"/>
    </xf>
    <xf numFmtId="0" fontId="0" fillId="0" borderId="0" xfId="0" applyAlignment="1">
      <alignment horizontal="center"/>
    </xf>
    <xf numFmtId="0" fontId="0" fillId="0" borderId="0" xfId="0" pivotButton="1"/>
    <xf numFmtId="4" fontId="0" fillId="0" borderId="0" xfId="0" applyNumberFormat="1"/>
    <xf numFmtId="0" fontId="2" fillId="2" borderId="0" xfId="0" applyFont="1" applyFill="1" applyAlignment="1">
      <alignment horizontal="center"/>
    </xf>
    <xf numFmtId="0" fontId="0" fillId="2" borderId="0" xfId="0" applyFill="1" applyAlignment="1">
      <alignment horizontal="center"/>
    </xf>
    <xf numFmtId="0" fontId="1" fillId="0" borderId="0" xfId="0" applyFont="1" applyAlignment="1">
      <alignment horizontal="center"/>
    </xf>
  </cellXfs>
  <cellStyles count="1">
    <cellStyle name="Normal" xfId="0" builtinId="0"/>
  </cellStyles>
  <dxfs count="10">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numFmt numFmtId="4" formatCode="#,##0.00"/>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[sudent_performance-dashboard.xlsx.xlsx]sheet1!PivotTable2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study</a:t>
            </a:r>
            <a:r>
              <a:rPr lang="en-US" baseline="0"/>
              <a:t> hours vs Grades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4"/>
                <c:pt idx="0">
                  <c:v>A</c:v>
                </c:pt>
                <c:pt idx="1">
                  <c:v>A+</c:v>
                </c:pt>
                <c:pt idx="2">
                  <c:v>B</c:v>
                </c:pt>
                <c:pt idx="3">
                  <c:v>C</c:v>
                </c:pt>
              </c:strCache>
            </c:strRef>
          </c:cat>
          <c:val>
            <c:numRef>
              <c:f>sheet1!$B$4:$B$8</c:f>
              <c:numCache>
                <c:formatCode>#,##0.00</c:formatCode>
                <c:ptCount val="4"/>
                <c:pt idx="0">
                  <c:v>4.8</c:v>
                </c:pt>
                <c:pt idx="1">
                  <c:v>6</c:v>
                </c:pt>
                <c:pt idx="2">
                  <c:v>3.4</c:v>
                </c:pt>
                <c:pt idx="3">
                  <c:v>2.25</c:v>
                </c:pt>
              </c:numCache>
            </c:numRef>
          </c:val>
          <c:extLst>
            <c:ext xmlns:c16="http://schemas.microsoft.com/office/drawing/2014/chart" uri="{C3380CC4-5D6E-409C-BE32-E72D297353CC}">
              <c16:uniqueId val="{00000000-FBC8-411D-82FB-20A53E95EAEC}"/>
            </c:ext>
          </c:extLst>
        </c:ser>
        <c:dLbls>
          <c:dLblPos val="outEnd"/>
          <c:showLegendKey val="0"/>
          <c:showVal val="1"/>
          <c:showCatName val="0"/>
          <c:showSerName val="0"/>
          <c:showPercent val="0"/>
          <c:showBubbleSize val="0"/>
        </c:dLbls>
        <c:gapWidth val="219"/>
        <c:overlap val="-27"/>
        <c:axId val="429520415"/>
        <c:axId val="447564335"/>
      </c:barChart>
      <c:catAx>
        <c:axId val="42952041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Grades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564335"/>
        <c:crosses val="autoZero"/>
        <c:auto val="1"/>
        <c:lblAlgn val="ctr"/>
        <c:lblOffset val="100"/>
        <c:noMultiLvlLbl val="0"/>
      </c:catAx>
      <c:valAx>
        <c:axId val="447564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study</a:t>
                </a:r>
                <a:r>
                  <a:rPr lang="en-US" b="1" baseline="0">
                    <a:solidFill>
                      <a:sysClr val="windowText" lastClr="000000"/>
                    </a:solidFill>
                  </a:rPr>
                  <a:t> hours</a:t>
                </a:r>
                <a:endParaRPr lang="en-US"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52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dLbls>
          <c:showLegendKey val="0"/>
          <c:showVal val="0"/>
          <c:showCatName val="0"/>
          <c:showSerName val="0"/>
          <c:showPercent val="0"/>
          <c:showBubbleSize val="0"/>
        </c:dLbls>
        <c:gapWidth val="182"/>
        <c:axId val="456056687"/>
        <c:axId val="447542255"/>
      </c:barChart>
      <c:catAx>
        <c:axId val="456056687"/>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542255"/>
        <c:crosses val="autoZero"/>
        <c:auto val="1"/>
        <c:lblAlgn val="ctr"/>
        <c:lblOffset val="100"/>
        <c:noMultiLvlLbl val="0"/>
      </c:catAx>
      <c:valAx>
        <c:axId val="44754225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05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[sudent_performance-dashboard.xlsx.xlsx]sheet1!PivotTable4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sleep</a:t>
            </a:r>
            <a:r>
              <a:rPr lang="en-US" baseline="0"/>
              <a:t> hours vs Grde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420384951881"/>
          <c:y val="0.13930555555555557"/>
          <c:w val="0.75541426071741036"/>
          <c:h val="0.73051727909011377"/>
        </c:manualLayout>
      </c:layout>
      <c:barChart>
        <c:barDir val="bar"/>
        <c:grouping val="clustered"/>
        <c:varyColors val="0"/>
        <c:ser>
          <c:idx val="0"/>
          <c:order val="0"/>
          <c:tx>
            <c:strRef>
              <c:f>sheet1!$I$4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sheet1!$H$5:$H$9</c:f>
              <c:strCache>
                <c:ptCount val="4"/>
                <c:pt idx="0">
                  <c:v>A</c:v>
                </c:pt>
                <c:pt idx="1">
                  <c:v>A+</c:v>
                </c:pt>
                <c:pt idx="2">
                  <c:v>B</c:v>
                </c:pt>
                <c:pt idx="3">
                  <c:v>C</c:v>
                </c:pt>
              </c:strCache>
            </c:strRef>
          </c:cat>
          <c:val>
            <c:numRef>
              <c:f>sheet1!$I$5:$I$9</c:f>
              <c:numCache>
                <c:formatCode>General</c:formatCode>
                <c:ptCount val="4"/>
                <c:pt idx="0">
                  <c:v>5.6</c:v>
                </c:pt>
                <c:pt idx="1">
                  <c:v>7.333333333333333</c:v>
                </c:pt>
                <c:pt idx="2">
                  <c:v>6.4</c:v>
                </c:pt>
                <c:pt idx="3">
                  <c:v>5.75</c:v>
                </c:pt>
              </c:numCache>
            </c:numRef>
          </c:val>
          <c:extLst>
            <c:ext xmlns:c16="http://schemas.microsoft.com/office/drawing/2014/chart" uri="{C3380CC4-5D6E-409C-BE32-E72D297353CC}">
              <c16:uniqueId val="{00000000-79E1-42B7-8DDA-4C418BD05AC7}"/>
            </c:ext>
          </c:extLst>
        </c:ser>
        <c:dLbls>
          <c:dLblPos val="outEnd"/>
          <c:showLegendKey val="0"/>
          <c:showVal val="1"/>
          <c:showCatName val="0"/>
          <c:showSerName val="0"/>
          <c:showPercent val="0"/>
          <c:showBubbleSize val="0"/>
        </c:dLbls>
        <c:gapWidth val="182"/>
        <c:axId val="470306559"/>
        <c:axId val="447527375"/>
      </c:barChart>
      <c:catAx>
        <c:axId val="47030655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Grade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527375"/>
        <c:crosses val="autoZero"/>
        <c:auto val="1"/>
        <c:lblAlgn val="ctr"/>
        <c:lblOffset val="100"/>
        <c:noMultiLvlLbl val="0"/>
      </c:catAx>
      <c:valAx>
        <c:axId val="4475273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sleep</a:t>
                </a:r>
                <a:r>
                  <a:rPr lang="en-US" b="1" baseline="0"/>
                  <a:t> hours</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0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[sudent_performance-dashboard.xlsx.xlsx]sheet1!PivotTable1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students</a:t>
            </a:r>
            <a:r>
              <a:rPr lang="en-US" baseline="0"/>
              <a:t> vs Grades</a:t>
            </a:r>
            <a:endParaRPr lang="en-US"/>
          </a:p>
        </c:rich>
      </c:tx>
      <c:layout>
        <c:manualLayout>
          <c:xMode val="edge"/>
          <c:yMode val="edge"/>
          <c:x val="0.34927077865266848"/>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08-4645-AE71-2A57E96998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08-4645-AE71-2A57E96998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08-4645-AE71-2A57E96998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08-4645-AE71-2A57E96998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sheet1!$T$4:$T$8</c:f>
              <c:strCache>
                <c:ptCount val="4"/>
                <c:pt idx="0">
                  <c:v>A</c:v>
                </c:pt>
                <c:pt idx="1">
                  <c:v>A+</c:v>
                </c:pt>
                <c:pt idx="2">
                  <c:v>B</c:v>
                </c:pt>
                <c:pt idx="3">
                  <c:v>C</c:v>
                </c:pt>
              </c:strCache>
            </c:strRef>
          </c:cat>
          <c:val>
            <c:numRef>
              <c:f>sheet1!$U$4:$U$8</c:f>
              <c:numCache>
                <c:formatCode>General</c:formatCode>
                <c:ptCount val="4"/>
                <c:pt idx="0">
                  <c:v>5</c:v>
                </c:pt>
                <c:pt idx="1">
                  <c:v>6</c:v>
                </c:pt>
                <c:pt idx="2">
                  <c:v>5</c:v>
                </c:pt>
                <c:pt idx="3">
                  <c:v>4</c:v>
                </c:pt>
              </c:numCache>
            </c:numRef>
          </c:val>
          <c:extLst>
            <c:ext xmlns:c16="http://schemas.microsoft.com/office/drawing/2014/chart" uri="{C3380CC4-5D6E-409C-BE32-E72D297353CC}">
              <c16:uniqueId val="{00000000-64C2-4374-9CF9-D79BD64901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[sudent_performance-dashboard.xlsx.xlsx]sheet1!PivotTable5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Attendence</a:t>
            </a:r>
            <a:r>
              <a:rPr lang="en-US" baseline="0"/>
              <a:t> vs Grades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02537182852144"/>
          <c:y val="0.14342178159730246"/>
          <c:w val="0.75379352580927383"/>
          <c:h val="0.72125801983085447"/>
        </c:manualLayout>
      </c:layout>
      <c:lineChart>
        <c:grouping val="standard"/>
        <c:varyColors val="0"/>
        <c:ser>
          <c:idx val="0"/>
          <c:order val="0"/>
          <c:tx>
            <c:strRef>
              <c:f>sheet1!$P$4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sheet1!$O$5:$O$9</c:f>
              <c:strCache>
                <c:ptCount val="4"/>
                <c:pt idx="0">
                  <c:v>A</c:v>
                </c:pt>
                <c:pt idx="1">
                  <c:v>A+</c:v>
                </c:pt>
                <c:pt idx="2">
                  <c:v>B</c:v>
                </c:pt>
                <c:pt idx="3">
                  <c:v>C</c:v>
                </c:pt>
              </c:strCache>
            </c:strRef>
          </c:cat>
          <c:val>
            <c:numRef>
              <c:f>sheet1!$P$5:$P$9</c:f>
              <c:numCache>
                <c:formatCode>General</c:formatCode>
                <c:ptCount val="4"/>
                <c:pt idx="0">
                  <c:v>87.8</c:v>
                </c:pt>
                <c:pt idx="1">
                  <c:v>93.666666666666671</c:v>
                </c:pt>
                <c:pt idx="2">
                  <c:v>86</c:v>
                </c:pt>
                <c:pt idx="3">
                  <c:v>78.5</c:v>
                </c:pt>
              </c:numCache>
            </c:numRef>
          </c:val>
          <c:smooth val="0"/>
          <c:extLst>
            <c:ext xmlns:c16="http://schemas.microsoft.com/office/drawing/2014/chart" uri="{C3380CC4-5D6E-409C-BE32-E72D297353CC}">
              <c16:uniqueId val="{00000000-3723-4277-8CA2-4EDEDC8641FE}"/>
            </c:ext>
          </c:extLst>
        </c:ser>
        <c:dLbls>
          <c:dLblPos val="t"/>
          <c:showLegendKey val="0"/>
          <c:showVal val="1"/>
          <c:showCatName val="0"/>
          <c:showSerName val="0"/>
          <c:showPercent val="0"/>
          <c:showBubbleSize val="0"/>
        </c:dLbls>
        <c:marker val="1"/>
        <c:smooth val="0"/>
        <c:axId val="5122992"/>
        <c:axId val="1804809231"/>
      </c:lineChart>
      <c:catAx>
        <c:axId val="51229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Grade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809231"/>
        <c:crosses val="autoZero"/>
        <c:auto val="1"/>
        <c:lblAlgn val="ctr"/>
        <c:lblOffset val="100"/>
        <c:noMultiLvlLbl val="0"/>
      </c:catAx>
      <c:valAx>
        <c:axId val="180480923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Attendece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[sudent_performance-dashboard.xlsx.xlsx]sheet1!PivotTable2</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study hours vs Grades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sheet1!$A$4:$A$8</c:f>
              <c:strCache>
                <c:ptCount val="4"/>
                <c:pt idx="0">
                  <c:v>A</c:v>
                </c:pt>
                <c:pt idx="1">
                  <c:v>A+</c:v>
                </c:pt>
                <c:pt idx="2">
                  <c:v>B</c:v>
                </c:pt>
                <c:pt idx="3">
                  <c:v>C</c:v>
                </c:pt>
              </c:strCache>
            </c:strRef>
          </c:cat>
          <c:val>
            <c:numRef>
              <c:f>sheet1!$B$4:$B$8</c:f>
              <c:numCache>
                <c:formatCode>#,##0.00</c:formatCode>
                <c:ptCount val="4"/>
                <c:pt idx="0">
                  <c:v>4.8</c:v>
                </c:pt>
                <c:pt idx="1">
                  <c:v>6</c:v>
                </c:pt>
                <c:pt idx="2">
                  <c:v>3.4</c:v>
                </c:pt>
                <c:pt idx="3">
                  <c:v>2.25</c:v>
                </c:pt>
              </c:numCache>
            </c:numRef>
          </c:val>
          <c:extLst>
            <c:ext xmlns:c16="http://schemas.microsoft.com/office/drawing/2014/chart" uri="{C3380CC4-5D6E-409C-BE32-E72D297353CC}">
              <c16:uniqueId val="{00000000-FBC8-411D-82FB-20A53E95EAEC}"/>
            </c:ext>
          </c:extLst>
        </c:ser>
        <c:dLbls>
          <c:dLblPos val="outEnd"/>
          <c:showLegendKey val="0"/>
          <c:showVal val="1"/>
          <c:showCatName val="0"/>
          <c:showSerName val="0"/>
          <c:showPercent val="0"/>
          <c:showBubbleSize val="0"/>
        </c:dLbls>
        <c:gapWidth val="164"/>
        <c:overlap val="-22"/>
        <c:axId val="429520415"/>
        <c:axId val="447564335"/>
      </c:barChart>
      <c:catAx>
        <c:axId val="4295204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564335"/>
        <c:crosses val="autoZero"/>
        <c:auto val="1"/>
        <c:lblAlgn val="ctr"/>
        <c:lblOffset val="100"/>
        <c:noMultiLvlLbl val="0"/>
      </c:catAx>
      <c:valAx>
        <c:axId val="44756433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study hours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52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[sudent_performance-dashboard.xlsx.xlsx]sheet1!PivotTable4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sleep hours vs Grde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87212262300779"/>
          <c:y val="0.12573038051582258"/>
          <c:w val="0.75541426071741036"/>
          <c:h val="0.73051727909011377"/>
        </c:manualLayout>
      </c:layout>
      <c:barChart>
        <c:barDir val="bar"/>
        <c:grouping val="clustered"/>
        <c:varyColors val="0"/>
        <c:ser>
          <c:idx val="0"/>
          <c:order val="0"/>
          <c:tx>
            <c:strRef>
              <c:f>sheet1!$I$4</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sheet1!$H$5:$H$9</c:f>
              <c:strCache>
                <c:ptCount val="4"/>
                <c:pt idx="0">
                  <c:v>A</c:v>
                </c:pt>
                <c:pt idx="1">
                  <c:v>A+</c:v>
                </c:pt>
                <c:pt idx="2">
                  <c:v>B</c:v>
                </c:pt>
                <c:pt idx="3">
                  <c:v>C</c:v>
                </c:pt>
              </c:strCache>
            </c:strRef>
          </c:cat>
          <c:val>
            <c:numRef>
              <c:f>sheet1!$I$5:$I$9</c:f>
              <c:numCache>
                <c:formatCode>General</c:formatCode>
                <c:ptCount val="4"/>
                <c:pt idx="0">
                  <c:v>5.6</c:v>
                </c:pt>
                <c:pt idx="1">
                  <c:v>7.333333333333333</c:v>
                </c:pt>
                <c:pt idx="2">
                  <c:v>6.4</c:v>
                </c:pt>
                <c:pt idx="3">
                  <c:v>5.75</c:v>
                </c:pt>
              </c:numCache>
            </c:numRef>
          </c:val>
          <c:extLst>
            <c:ext xmlns:c16="http://schemas.microsoft.com/office/drawing/2014/chart" uri="{C3380CC4-5D6E-409C-BE32-E72D297353CC}">
              <c16:uniqueId val="{00000000-F177-4428-87A1-89EAE77E9CFF}"/>
            </c:ext>
          </c:extLst>
        </c:ser>
        <c:dLbls>
          <c:dLblPos val="inEnd"/>
          <c:showLegendKey val="0"/>
          <c:showVal val="1"/>
          <c:showCatName val="0"/>
          <c:showSerName val="0"/>
          <c:showPercent val="0"/>
          <c:showBubbleSize val="0"/>
        </c:dLbls>
        <c:gapWidth val="65"/>
        <c:axId val="470306559"/>
        <c:axId val="447527375"/>
      </c:barChart>
      <c:catAx>
        <c:axId val="47030655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Grade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7527375"/>
        <c:crosses val="autoZero"/>
        <c:auto val="1"/>
        <c:lblAlgn val="ctr"/>
        <c:lblOffset val="100"/>
        <c:noMultiLvlLbl val="0"/>
      </c:catAx>
      <c:valAx>
        <c:axId val="4475273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sleep hours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703065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[sudent_performance-dashboard.xlsx.xlsx]sheet1!PivotTable5</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Attendence vs Grades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69203849518811"/>
          <c:y val="0.139048893366604"/>
          <c:w val="0.75379352580927383"/>
          <c:h val="0.72125801983085447"/>
        </c:manualLayout>
      </c:layout>
      <c:lineChart>
        <c:grouping val="standard"/>
        <c:varyColors val="0"/>
        <c:ser>
          <c:idx val="0"/>
          <c:order val="0"/>
          <c:tx>
            <c:strRef>
              <c:f>sheet1!$P$4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sheet1!$O$5:$O$9</c:f>
              <c:strCache>
                <c:ptCount val="4"/>
                <c:pt idx="0">
                  <c:v>A</c:v>
                </c:pt>
                <c:pt idx="1">
                  <c:v>A+</c:v>
                </c:pt>
                <c:pt idx="2">
                  <c:v>B</c:v>
                </c:pt>
                <c:pt idx="3">
                  <c:v>C</c:v>
                </c:pt>
              </c:strCache>
            </c:strRef>
          </c:cat>
          <c:val>
            <c:numRef>
              <c:f>sheet1!$P$5:$P$9</c:f>
              <c:numCache>
                <c:formatCode>General</c:formatCode>
                <c:ptCount val="4"/>
                <c:pt idx="0">
                  <c:v>87.8</c:v>
                </c:pt>
                <c:pt idx="1">
                  <c:v>93.666666666666671</c:v>
                </c:pt>
                <c:pt idx="2">
                  <c:v>86</c:v>
                </c:pt>
                <c:pt idx="3">
                  <c:v>78.5</c:v>
                </c:pt>
              </c:numCache>
            </c:numRef>
          </c:val>
          <c:smooth val="0"/>
          <c:extLst>
            <c:ext xmlns:c16="http://schemas.microsoft.com/office/drawing/2014/chart" uri="{C3380CC4-5D6E-409C-BE32-E72D297353CC}">
              <c16:uniqueId val="{00000000-70BD-4A2B-8956-666BC7FBFC22}"/>
            </c:ext>
          </c:extLst>
        </c:ser>
        <c:dLbls>
          <c:dLblPos val="t"/>
          <c:showLegendKey val="0"/>
          <c:showVal val="1"/>
          <c:showCatName val="0"/>
          <c:showSerName val="0"/>
          <c:showPercent val="0"/>
          <c:showBubbleSize val="0"/>
        </c:dLbls>
        <c:marker val="1"/>
        <c:smooth val="0"/>
        <c:axId val="5122992"/>
        <c:axId val="1804809231"/>
      </c:lineChart>
      <c:catAx>
        <c:axId val="512299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Grade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809231"/>
        <c:crosses val="autoZero"/>
        <c:auto val="1"/>
        <c:lblAlgn val="ctr"/>
        <c:lblOffset val="100"/>
        <c:noMultiLvlLbl val="0"/>
      </c:catAx>
      <c:valAx>
        <c:axId val="1804809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Attendece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[sudent_performance-dashboard.xlsx.xlsx]sheet1!PivotTable1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students</a:t>
            </a:r>
            <a:r>
              <a:rPr lang="en-US" baseline="0"/>
              <a:t> vs Grades</a:t>
            </a:r>
            <a:endParaRPr lang="en-US"/>
          </a:p>
        </c:rich>
      </c:tx>
      <c:layout>
        <c:manualLayout>
          <c:xMode val="edge"/>
          <c:yMode val="edge"/>
          <c:x val="0.34927077865266848"/>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431740281771592"/>
          <c:y val="0.20814523184601924"/>
          <c:w val="0.40047563419168108"/>
          <c:h val="0.66745953630796151"/>
        </c:manualLayout>
      </c:layout>
      <c:pieChart>
        <c:varyColors val="1"/>
        <c:ser>
          <c:idx val="0"/>
          <c:order val="0"/>
          <c:tx>
            <c:strRef>
              <c:f>sheet1!$U$3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C5-43E8-9E1A-12956AAD56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C5-43E8-9E1A-12956AAD56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C5-43E8-9E1A-12956AAD56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C5-43E8-9E1A-12956AAD56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sheet1!$T$4:$T$8</c:f>
              <c:strCache>
                <c:ptCount val="4"/>
                <c:pt idx="0">
                  <c:v>A</c:v>
                </c:pt>
                <c:pt idx="1">
                  <c:v>A+</c:v>
                </c:pt>
                <c:pt idx="2">
                  <c:v>B</c:v>
                </c:pt>
                <c:pt idx="3">
                  <c:v>C</c:v>
                </c:pt>
              </c:strCache>
            </c:strRef>
          </c:cat>
          <c:val>
            <c:numRef>
              <c:f>sheet1!$U$4:$U$8</c:f>
              <c:numCache>
                <c:formatCode>General</c:formatCode>
                <c:ptCount val="4"/>
                <c:pt idx="0">
                  <c:v>5</c:v>
                </c:pt>
                <c:pt idx="1">
                  <c:v>6</c:v>
                </c:pt>
                <c:pt idx="2">
                  <c:v>5</c:v>
                </c:pt>
                <c:pt idx="3">
                  <c:v>4</c:v>
                </c:pt>
              </c:numCache>
            </c:numRef>
          </c:val>
          <c:extLst>
            <c:ext xmlns:c16="http://schemas.microsoft.com/office/drawing/2014/chart" uri="{C3380CC4-5D6E-409C-BE32-E72D297353CC}">
              <c16:uniqueId val="{00000008-57C5-43E8-9E1A-12956AAD56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53340</xdr:colOff>
      <xdr:row>8</xdr:row>
      <xdr:rowOff>179070</xdr:rowOff>
    </xdr:from>
    <xdr:to>
      <xdr:col>5</xdr:col>
      <xdr:colOff>0</xdr:colOff>
      <xdr:row>23</xdr:row>
      <xdr:rowOff>179070</xdr:rowOff>
    </xdr:to>
    <xdr:graphicFrame macro="">
      <xdr:nvGraphicFramePr>
        <xdr:cNvPr id="2" name="Chart 1">
          <a:extLst>
            <a:ext uri="{FF2B5EF4-FFF2-40B4-BE49-F238E27FC236}">
              <a16:creationId xmlns:a16="http://schemas.microsoft.com/office/drawing/2014/main" id="{12D19713-ABB1-5C5D-AA73-9E5B2419F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274320</xdr:colOff>
      <xdr:row>9</xdr:row>
      <xdr:rowOff>152400</xdr:rowOff>
    </xdr:from>
    <xdr:to>
      <xdr:col>11</xdr:col>
      <xdr:colOff>205740</xdr:colOff>
      <xdr:row>24</xdr:row>
      <xdr:rowOff>125730</xdr:rowOff>
    </xdr:to>
    <xdr:graphicFrame macro="">
      <xdr:nvGraphicFramePr>
        <xdr:cNvPr id="3" name="Chart 2">
          <a:extLst>
            <a:ext uri="{FF2B5EF4-FFF2-40B4-BE49-F238E27FC236}">
              <a16:creationId xmlns:a16="http://schemas.microsoft.com/office/drawing/2014/main" id="{A8B78207-186D-239E-0B36-A0979F515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266700</xdr:colOff>
      <xdr:row>9</xdr:row>
      <xdr:rowOff>140970</xdr:rowOff>
    </xdr:from>
    <xdr:to>
      <xdr:col>11</xdr:col>
      <xdr:colOff>175260</xdr:colOff>
      <xdr:row>25</xdr:row>
      <xdr:rowOff>38100</xdr:rowOff>
    </xdr:to>
    <xdr:graphicFrame macro="">
      <xdr:nvGraphicFramePr>
        <xdr:cNvPr id="4" name="Chart 3">
          <a:extLst>
            <a:ext uri="{FF2B5EF4-FFF2-40B4-BE49-F238E27FC236}">
              <a16:creationId xmlns:a16="http://schemas.microsoft.com/office/drawing/2014/main" id="{8CE50892-9A0B-D8BB-7EB2-E611E150F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567171</xdr:colOff>
      <xdr:row>9</xdr:row>
      <xdr:rowOff>161060</xdr:rowOff>
    </xdr:from>
    <xdr:to>
      <xdr:col>23</xdr:col>
      <xdr:colOff>463262</xdr:colOff>
      <xdr:row>24</xdr:row>
      <xdr:rowOff>176646</xdr:rowOff>
    </xdr:to>
    <xdr:graphicFrame macro="">
      <xdr:nvGraphicFramePr>
        <xdr:cNvPr id="6" name="Chart 5">
          <a:extLst>
            <a:ext uri="{FF2B5EF4-FFF2-40B4-BE49-F238E27FC236}">
              <a16:creationId xmlns:a16="http://schemas.microsoft.com/office/drawing/2014/main" id="{7C9F2813-68A4-C7EC-61BD-6CECBCFBE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324717</xdr:colOff>
      <xdr:row>9</xdr:row>
      <xdr:rowOff>69273</xdr:rowOff>
    </xdr:from>
    <xdr:to>
      <xdr:col>17</xdr:col>
      <xdr:colOff>134217</xdr:colOff>
      <xdr:row>25</xdr:row>
      <xdr:rowOff>64077</xdr:rowOff>
    </xdr:to>
    <xdr:graphicFrame macro="">
      <xdr:nvGraphicFramePr>
        <xdr:cNvPr id="7" name="Chart 6">
          <a:extLst>
            <a:ext uri="{FF2B5EF4-FFF2-40B4-BE49-F238E27FC236}">
              <a16:creationId xmlns:a16="http://schemas.microsoft.com/office/drawing/2014/main" id="{CCC26620-5385-D1F2-C565-687AD7277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2</xdr:row>
      <xdr:rowOff>175260</xdr:rowOff>
    </xdr:from>
    <xdr:to>
      <xdr:col>7</xdr:col>
      <xdr:colOff>409055</xdr:colOff>
      <xdr:row>17</xdr:row>
      <xdr:rowOff>159674</xdr:rowOff>
    </xdr:to>
    <xdr:graphicFrame macro="">
      <xdr:nvGraphicFramePr>
        <xdr:cNvPr id="2" name="Chart 1">
          <a:extLst>
            <a:ext uri="{FF2B5EF4-FFF2-40B4-BE49-F238E27FC236}">
              <a16:creationId xmlns:a16="http://schemas.microsoft.com/office/drawing/2014/main" id="{619B8809-33B6-44C0-A607-17CE465E7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434340</xdr:colOff>
      <xdr:row>2</xdr:row>
      <xdr:rowOff>175260</xdr:rowOff>
    </xdr:from>
    <xdr:to>
      <xdr:col>15</xdr:col>
      <xdr:colOff>116032</xdr:colOff>
      <xdr:row>18</xdr:row>
      <xdr:rowOff>55765</xdr:rowOff>
    </xdr:to>
    <xdr:graphicFrame macro="">
      <xdr:nvGraphicFramePr>
        <xdr:cNvPr id="3" name="Chart 2">
          <a:extLst>
            <a:ext uri="{FF2B5EF4-FFF2-40B4-BE49-F238E27FC236}">
              <a16:creationId xmlns:a16="http://schemas.microsoft.com/office/drawing/2014/main" id="{C93C1A98-D4D3-41DC-B0AE-BD09C8D09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274320</xdr:colOff>
      <xdr:row>18</xdr:row>
      <xdr:rowOff>30480</xdr:rowOff>
    </xdr:from>
    <xdr:to>
      <xdr:col>15</xdr:col>
      <xdr:colOff>579120</xdr:colOff>
      <xdr:row>34</xdr:row>
      <xdr:rowOff>8659</xdr:rowOff>
    </xdr:to>
    <xdr:graphicFrame macro="">
      <xdr:nvGraphicFramePr>
        <xdr:cNvPr id="6" name="Chart 5">
          <a:extLst>
            <a:ext uri="{FF2B5EF4-FFF2-40B4-BE49-F238E27FC236}">
              <a16:creationId xmlns:a16="http://schemas.microsoft.com/office/drawing/2014/main" id="{8057889C-5ECE-4B28-937E-50C0AB7D5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601980</xdr:colOff>
      <xdr:row>17</xdr:row>
      <xdr:rowOff>22860</xdr:rowOff>
    </xdr:from>
    <xdr:to>
      <xdr:col>18</xdr:col>
      <xdr:colOff>601980</xdr:colOff>
      <xdr:row>31</xdr:row>
      <xdr:rowOff>43815</xdr:rowOff>
    </xdr:to>
    <mc:AlternateContent xmlns:mc="http://schemas.openxmlformats.org/markup-compatibility/2006" xmlns:a14="http://schemas.microsoft.com/office/drawing/2010/main">
      <mc:Choice Requires="a14">
        <xdr:graphicFrame macro="">
          <xdr:nvGraphicFramePr>
            <xdr:cNvPr id="7" name="Attendance %">
              <a:extLst>
                <a:ext uri="{FF2B5EF4-FFF2-40B4-BE49-F238E27FC236}">
                  <a16:creationId xmlns:a16="http://schemas.microsoft.com/office/drawing/2014/main" id="{C33E94A1-5D20-798C-BC39-2D4DF50BA097}"/>
                </a:ext>
              </a:extLst>
            </xdr:cNvPr>
            <xdr:cNvGraphicFramePr/>
          </xdr:nvGraphicFramePr>
          <xdr:xfrm>
            <a:off x="0" y="0"/>
            <a:ext cx="0" cy="0"/>
          </xdr:xfrm>
          <a:graphic>
            <a:graphicData uri="http://schemas.microsoft.com/office/drawing/2010/slicer">
              <sle:slicer xmlns:sle="http://schemas.microsoft.com/office/drawing/2010/slicer" name="Attendance %"/>
            </a:graphicData>
          </a:graphic>
        </xdr:graphicFrame>
      </mc:Choice>
      <mc:Fallback xmlns="">
        <xdr:sp macro="" textlink="">
          <xdr:nvSpPr>
            <xdr:cNvPr id="0" name=""/>
            <xdr:cNvSpPr>
              <a:spLocks noTextEdit="1"/>
            </xdr:cNvSpPr>
          </xdr:nvSpPr>
          <xdr:spPr>
            <a:xfrm>
              <a:off x="9778177" y="3124522"/>
              <a:ext cx="1835240" cy="2575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586740</xdr:colOff>
      <xdr:row>18</xdr:row>
      <xdr:rowOff>45720</xdr:rowOff>
    </xdr:from>
    <xdr:to>
      <xdr:col>8</xdr:col>
      <xdr:colOff>281941</xdr:colOff>
      <xdr:row>33</xdr:row>
      <xdr:rowOff>45720</xdr:rowOff>
    </xdr:to>
    <xdr:graphicFrame macro="">
      <xdr:nvGraphicFramePr>
        <xdr:cNvPr id="8" name="Chart 7">
          <a:extLst>
            <a:ext uri="{FF2B5EF4-FFF2-40B4-BE49-F238E27FC236}">
              <a16:creationId xmlns:a16="http://schemas.microsoft.com/office/drawing/2014/main" id="{12101FAA-B4B5-468A-A51C-87304CD45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uja Reddy" refreshedDate="46302.906659722219" createdVersion="8" refreshedVersion="8" minRefreshableVersion="3" recordCount="20" xr:uid="{44251C00-9089-4395-B23E-B00338344019}">
  <cacheSource type="worksheet">
    <worksheetSource name="performance"/>
  </cacheSource>
  <cacheFields count="8">
    <cacheField name="Student ID" numFmtId="0">
      <sharedItems containsSemiMixedTypes="0" containsString="0" containsNumber="1" containsInteger="1" minValue="101" maxValue="120"/>
    </cacheField>
    <cacheField name="Student Name" numFmtId="0">
      <sharedItems count="20">
        <s v="Ananya"/>
        <s v="Rahul"/>
        <s v="Priya"/>
        <s v="Arjun"/>
        <s v="Sneha"/>
        <s v="Kiran"/>
        <s v="Divya"/>
        <s v="Rohit"/>
        <s v="Pooja"/>
        <s v="Varun"/>
        <s v="Keerthi"/>
        <s v="Sai"/>
        <s v="Meena"/>
        <s v="Aditya"/>
        <s v="Lakshmi"/>
        <s v="Naveen"/>
        <s v="Harini"/>
        <s v="Ajay"/>
        <s v="Swathi"/>
        <s v="Manoj"/>
      </sharedItems>
    </cacheField>
    <cacheField name="Economics Course" numFmtId="0">
      <sharedItems/>
    </cacheField>
    <cacheField name="Sleep Hours" numFmtId="0">
      <sharedItems containsSemiMixedTypes="0" containsString="0" containsNumber="1" containsInteger="1" minValue="3" maxValue="8"/>
    </cacheField>
    <cacheField name="Study Hours" numFmtId="4">
      <sharedItems containsSemiMixedTypes="0" containsString="0" containsNumber="1" containsInteger="1" minValue="2" maxValue="7" count="6">
        <n v="4"/>
        <n v="5"/>
        <n v="3"/>
        <n v="6"/>
        <n v="2"/>
        <n v="7"/>
      </sharedItems>
    </cacheField>
    <cacheField name="Attendance %" numFmtId="0">
      <sharedItems containsSemiMixedTypes="0" containsString="0" containsNumber="1" containsInteger="1" minValue="74" maxValue="98" count="16">
        <n v="92"/>
        <n v="78"/>
        <n v="95"/>
        <n v="82"/>
        <n v="87"/>
        <n v="98"/>
        <n v="75"/>
        <n v="91"/>
        <n v="85"/>
        <n v="96"/>
        <n v="89"/>
        <n v="80"/>
        <n v="93"/>
        <n v="74"/>
        <n v="97"/>
        <n v="83"/>
      </sharedItems>
    </cacheField>
    <cacheField name="Grade" numFmtId="0">
      <sharedItems count="4">
        <s v="A"/>
        <s v="B"/>
        <s v="C"/>
        <s v="A+"/>
      </sharedItems>
    </cacheField>
    <cacheField name="pass/fail" numFmtId="0">
      <sharedItems/>
    </cacheField>
  </cacheFields>
  <extLst>
    <ext xmlns:x14="http://schemas.microsoft.com/office/spreadsheetml/2009/9/main" uri="{725AE2AE-9491-48be-B2B4-4EB974FC3084}">
      <x14:pivotCacheDefinition pivotCacheId="914049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1"/>
    <x v="0"/>
    <s v="Economics"/>
    <n v="5"/>
    <x v="0"/>
    <x v="0"/>
    <x v="0"/>
    <s v="fail"/>
  </r>
  <r>
    <n v="102"/>
    <x v="1"/>
    <s v="Economics"/>
    <n v="3"/>
    <x v="1"/>
    <x v="1"/>
    <x v="0"/>
    <s v="fail"/>
  </r>
  <r>
    <n v="103"/>
    <x v="2"/>
    <s v="Economics"/>
    <n v="8"/>
    <x v="2"/>
    <x v="2"/>
    <x v="1"/>
    <s v="fail"/>
  </r>
  <r>
    <n v="104"/>
    <x v="3"/>
    <s v="Economics"/>
    <n v="5"/>
    <x v="3"/>
    <x v="3"/>
    <x v="0"/>
    <s v="fail"/>
  </r>
  <r>
    <n v="105"/>
    <x v="4"/>
    <s v="Economics"/>
    <n v="7"/>
    <x v="4"/>
    <x v="1"/>
    <x v="2"/>
    <s v="fail"/>
  </r>
  <r>
    <n v="106"/>
    <x v="5"/>
    <s v="Economics"/>
    <n v="6"/>
    <x v="5"/>
    <x v="4"/>
    <x v="3"/>
    <s v="fail"/>
  </r>
  <r>
    <n v="107"/>
    <x v="6"/>
    <s v="Economics"/>
    <n v="8"/>
    <x v="0"/>
    <x v="5"/>
    <x v="0"/>
    <s v="fail"/>
  </r>
  <r>
    <n v="108"/>
    <x v="7"/>
    <s v="Economics"/>
    <n v="5"/>
    <x v="2"/>
    <x v="6"/>
    <x v="2"/>
    <s v="fail"/>
  </r>
  <r>
    <n v="109"/>
    <x v="8"/>
    <s v="Economics"/>
    <n v="7"/>
    <x v="3"/>
    <x v="7"/>
    <x v="3"/>
    <s v="fail"/>
  </r>
  <r>
    <n v="110"/>
    <x v="9"/>
    <s v="Economics"/>
    <n v="6"/>
    <x v="0"/>
    <x v="8"/>
    <x v="1"/>
    <s v="fail"/>
  </r>
  <r>
    <n v="111"/>
    <x v="10"/>
    <s v="Economics"/>
    <n v="8"/>
    <x v="1"/>
    <x v="9"/>
    <x v="3"/>
    <s v="fail"/>
  </r>
  <r>
    <n v="112"/>
    <x v="11"/>
    <s v="Economics"/>
    <n v="5"/>
    <x v="4"/>
    <x v="4"/>
    <x v="2"/>
    <s v="fail"/>
  </r>
  <r>
    <n v="113"/>
    <x v="12"/>
    <s v="Economics"/>
    <n v="7"/>
    <x v="1"/>
    <x v="10"/>
    <x v="0"/>
    <s v="fail"/>
  </r>
  <r>
    <n v="114"/>
    <x v="13"/>
    <s v="Economics"/>
    <n v="6"/>
    <x v="2"/>
    <x v="11"/>
    <x v="1"/>
    <s v="fail"/>
  </r>
  <r>
    <n v="115"/>
    <x v="14"/>
    <s v="Economics"/>
    <n v="8"/>
    <x v="3"/>
    <x v="12"/>
    <x v="3"/>
    <s v="fail"/>
  </r>
  <r>
    <n v="116"/>
    <x v="15"/>
    <s v="Economics"/>
    <n v="5"/>
    <x v="0"/>
    <x v="4"/>
    <x v="1"/>
    <s v="fail"/>
  </r>
  <r>
    <n v="117"/>
    <x v="16"/>
    <s v="Economics"/>
    <n v="7"/>
    <x v="5"/>
    <x v="5"/>
    <x v="3"/>
    <s v="fail"/>
  </r>
  <r>
    <n v="118"/>
    <x v="17"/>
    <s v="Economics"/>
    <n v="6"/>
    <x v="4"/>
    <x v="13"/>
    <x v="2"/>
    <s v="fail"/>
  </r>
  <r>
    <n v="119"/>
    <x v="18"/>
    <s v="Economics"/>
    <n v="8"/>
    <x v="1"/>
    <x v="14"/>
    <x v="3"/>
    <s v="fail"/>
  </r>
  <r>
    <n v="120"/>
    <x v="19"/>
    <s v="Economics"/>
    <n v="7"/>
    <x v="2"/>
    <x v="15"/>
    <x v="1"/>
    <s v="fai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023829-1CFF-4677-B811-BEACF82E73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3:U8" firstHeaderRow="1" firstDataRow="1" firstDataCol="1"/>
  <pivotFields count="8">
    <pivotField showAll="0"/>
    <pivotField dataField="1" showAll="0">
      <items count="21">
        <item x="13"/>
        <item x="17"/>
        <item x="0"/>
        <item x="3"/>
        <item x="6"/>
        <item x="16"/>
        <item x="10"/>
        <item x="5"/>
        <item x="14"/>
        <item x="19"/>
        <item x="12"/>
        <item x="15"/>
        <item x="8"/>
        <item x="2"/>
        <item x="1"/>
        <item x="7"/>
        <item x="11"/>
        <item x="4"/>
        <item x="18"/>
        <item x="9"/>
        <item t="default"/>
      </items>
    </pivotField>
    <pivotField showAll="0"/>
    <pivotField showAll="0"/>
    <pivotField numFmtId="4" showAll="0"/>
    <pivotField showAll="0"/>
    <pivotField axis="axisRow" showAll="0">
      <items count="5">
        <item x="0"/>
        <item x="3"/>
        <item x="1"/>
        <item x="2"/>
        <item t="default"/>
      </items>
    </pivotField>
    <pivotField showAll="0"/>
  </pivotFields>
  <rowFields count="1">
    <field x="6"/>
  </rowFields>
  <rowItems count="5">
    <i>
      <x/>
    </i>
    <i>
      <x v="1"/>
    </i>
    <i>
      <x v="2"/>
    </i>
    <i>
      <x v="3"/>
    </i>
    <i t="grand">
      <x/>
    </i>
  </rowItems>
  <colItems count="1">
    <i/>
  </colItems>
  <dataFields count="1">
    <dataField name="Count of Student Name" fld="1" subtotal="count" baseField="0" baseItem="0"/>
  </dataFields>
  <chartFormats count="1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2" format="5">
      <pivotArea type="data" outline="0" fieldPosition="0">
        <references count="2">
          <reference field="4294967294" count="1" selected="0">
            <x v="0"/>
          </reference>
          <reference field="6"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1739BC-77FA-4945-A1A8-DA57BDEF17F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O4:P9" firstHeaderRow="1" firstDataRow="1" firstDataCol="1"/>
  <pivotFields count="8">
    <pivotField showAll="0"/>
    <pivotField showAll="0"/>
    <pivotField showAll="0"/>
    <pivotField showAll="0"/>
    <pivotField numFmtId="4" showAll="0"/>
    <pivotField dataField="1" showAll="0">
      <items count="17">
        <item x="13"/>
        <item x="6"/>
        <item x="1"/>
        <item x="11"/>
        <item x="3"/>
        <item x="15"/>
        <item x="8"/>
        <item x="4"/>
        <item x="10"/>
        <item x="7"/>
        <item x="0"/>
        <item x="12"/>
        <item x="2"/>
        <item x="9"/>
        <item x="14"/>
        <item x="5"/>
        <item t="default"/>
      </items>
    </pivotField>
    <pivotField axis="axisRow" showAll="0">
      <items count="5">
        <item x="0"/>
        <item x="3"/>
        <item x="1"/>
        <item x="2"/>
        <item t="default"/>
      </items>
    </pivotField>
    <pivotField showAll="0"/>
  </pivotFields>
  <rowFields count="1">
    <field x="6"/>
  </rowFields>
  <rowItems count="5">
    <i>
      <x/>
    </i>
    <i>
      <x v="1"/>
    </i>
    <i>
      <x v="2"/>
    </i>
    <i>
      <x v="3"/>
    </i>
    <i t="grand">
      <x/>
    </i>
  </rowItems>
  <colItems count="1">
    <i/>
  </colItems>
  <dataFields count="1">
    <dataField name="Average of Attendance %" fld="5" subtotal="average" baseField="0" baseItem="0"/>
  </dataFields>
  <chartFormats count="3">
    <chartFormat chart="7"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9FB94E-F3E6-4CD6-AF92-5B922DB9C51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4:I9" firstHeaderRow="1" firstDataRow="1" firstDataCol="1"/>
  <pivotFields count="8">
    <pivotField showAll="0"/>
    <pivotField showAll="0"/>
    <pivotField showAll="0"/>
    <pivotField dataField="1" showAll="0"/>
    <pivotField numFmtId="4" showAll="0"/>
    <pivotField showAll="0"/>
    <pivotField axis="axisRow" showAll="0">
      <items count="5">
        <item x="0"/>
        <item x="3"/>
        <item x="1"/>
        <item x="2"/>
        <item t="default"/>
      </items>
    </pivotField>
    <pivotField showAll="0"/>
  </pivotFields>
  <rowFields count="1">
    <field x="6"/>
  </rowFields>
  <rowItems count="5">
    <i>
      <x/>
    </i>
    <i>
      <x v="1"/>
    </i>
    <i>
      <x v="2"/>
    </i>
    <i>
      <x v="3"/>
    </i>
    <i t="grand">
      <x/>
    </i>
  </rowItems>
  <colItems count="1">
    <i/>
  </colItems>
  <dataFields count="1">
    <dataField name="Average of Sleep Hours" fld="3" subtotal="average"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AB335F-EA33-4E00-A2C0-1BB3B99508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8">
    <pivotField showAll="0"/>
    <pivotField showAll="0"/>
    <pivotField showAll="0"/>
    <pivotField showAll="0"/>
    <pivotField dataField="1" numFmtId="4" showAll="0">
      <items count="7">
        <item x="4"/>
        <item x="2"/>
        <item x="0"/>
        <item x="1"/>
        <item x="3"/>
        <item x="5"/>
        <item t="default"/>
      </items>
    </pivotField>
    <pivotField showAll="0"/>
    <pivotField axis="axisRow" showAll="0">
      <items count="5">
        <item x="0"/>
        <item x="3"/>
        <item x="1"/>
        <item x="2"/>
        <item t="default"/>
      </items>
    </pivotField>
    <pivotField showAll="0"/>
  </pivotFields>
  <rowFields count="1">
    <field x="6"/>
  </rowFields>
  <rowItems count="5">
    <i>
      <x/>
    </i>
    <i>
      <x v="1"/>
    </i>
    <i>
      <x v="2"/>
    </i>
    <i>
      <x v="3"/>
    </i>
    <i t="grand">
      <x/>
    </i>
  </rowItems>
  <colItems count="1">
    <i/>
  </colItems>
  <dataFields count="1">
    <dataField name="Average of Study Hours" fld="4" subtotal="average" baseField="0" baseItem="0" numFmtId="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FD9F400F-6722-4F9A-B7A5-9F3BC50D7B89}" sourceName="Attendance %">
  <pivotTables>
    <pivotTable tabId="5" name="PivotTable5"/>
  </pivotTables>
  <data>
    <tabular pivotCacheId="914049997">
      <items count="16">
        <i x="13" s="1"/>
        <i x="6" s="1"/>
        <i x="1" s="1"/>
        <i x="11" s="1"/>
        <i x="3" s="1"/>
        <i x="15" s="1"/>
        <i x="8" s="1"/>
        <i x="4" s="1"/>
        <i x="10" s="1"/>
        <i x="7" s="1"/>
        <i x="0" s="1"/>
        <i x="12" s="1"/>
        <i x="2" s="1"/>
        <i x="9" s="1"/>
        <i x="1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endance %" xr10:uid="{36823079-AEEA-4124-BF7D-5C69BE04000E}" cache="Slicer_Attendance" caption="Attendance %"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B70C40-49D1-4582-B0A0-6F93EFA96147}" name="performance" displayName="performance" ref="A1:H21" totalsRowShown="0" headerRowDxfId="9" dataDxfId="8">
  <autoFilter ref="A1:H21" xr:uid="{44B70C40-49D1-4582-B0A0-6F93EFA96147}"/>
  <tableColumns count="8">
    <tableColumn id="1" xr3:uid="{FE1C9745-22D9-4443-96B5-EED5A2203A97}" name="Student ID" dataDxfId="7"/>
    <tableColumn id="2" xr3:uid="{B37F325D-671B-44F9-B2F7-97FE8896D8E6}" name="Student Name" dataDxfId="6"/>
    <tableColumn id="3" xr3:uid="{09C5D834-F3A7-4A68-BB86-EBE80A254357}" name="Economics Course" dataDxfId="5"/>
    <tableColumn id="4" xr3:uid="{42B3D921-ED39-4B38-8965-CA56EF8BA4BF}" name="Sleep Hours" dataDxfId="4"/>
    <tableColumn id="5" xr3:uid="{A5931C05-6292-45BA-9FA2-EED76292F1F9}" name="Study Hours" dataDxfId="3"/>
    <tableColumn id="6" xr3:uid="{B54A68D8-3A94-4368-81E6-F28C3110B2BE}" name="Attendance %" dataDxfId="2"/>
    <tableColumn id="7" xr3:uid="{2DC77D94-D6B9-426F-9BEB-9C383B476538}" name="Grade" dataDxfId="1"/>
    <tableColumn id="8" xr3:uid="{24994140-24B0-4B9E-A26D-F9EB23170576}" name="pass/fail" dataDxfId="0">
      <calculatedColumnFormula>IF(E19&gt;50,"pass","fail")</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EE2E3-8B04-432C-87AB-029F6E79F4DD}">
  <dimension ref="A1:L21"/>
  <sheetViews>
    <sheetView tabSelected="1" workbookViewId="0">
      <selection activeCell="D26" sqref="D26"/>
    </sheetView>
  </sheetViews>
  <sheetFormatPr defaultColWidth="18.21875" defaultRowHeight="14.4" x14ac:dyDescent="0.3"/>
  <sheetData>
    <row r="1" spans="1:12" ht="17.399999999999999" customHeight="1" x14ac:dyDescent="0.3">
      <c r="A1" s="1" t="s">
        <v>0</v>
      </c>
      <c r="B1" s="1" t="s">
        <v>1</v>
      </c>
      <c r="C1" s="1" t="s">
        <v>2</v>
      </c>
      <c r="D1" s="1" t="s">
        <v>3</v>
      </c>
      <c r="E1" s="1" t="s">
        <v>4</v>
      </c>
      <c r="F1" s="1" t="s">
        <v>26</v>
      </c>
      <c r="G1" s="1" t="s">
        <v>5</v>
      </c>
      <c r="H1" s="1" t="s">
        <v>32</v>
      </c>
    </row>
    <row r="2" spans="1:12" x14ac:dyDescent="0.3">
      <c r="A2" s="2">
        <v>101</v>
      </c>
      <c r="B2" s="2" t="s">
        <v>6</v>
      </c>
      <c r="C2" s="2" t="s">
        <v>7</v>
      </c>
      <c r="D2" s="2">
        <v>5</v>
      </c>
      <c r="E2" s="3">
        <v>4</v>
      </c>
      <c r="F2" s="2">
        <v>92</v>
      </c>
      <c r="G2" s="2" t="s">
        <v>27</v>
      </c>
      <c r="H2" s="2" t="str">
        <f>IF(E19&gt;50,"pass","fail")</f>
        <v>fail</v>
      </c>
    </row>
    <row r="3" spans="1:12" x14ac:dyDescent="0.3">
      <c r="A3" s="2">
        <v>102</v>
      </c>
      <c r="B3" s="2" t="s">
        <v>8</v>
      </c>
      <c r="C3" s="2" t="s">
        <v>7</v>
      </c>
      <c r="D3" s="2">
        <v>3</v>
      </c>
      <c r="E3" s="3">
        <v>5</v>
      </c>
      <c r="F3" s="2">
        <v>78</v>
      </c>
      <c r="G3" s="2" t="s">
        <v>27</v>
      </c>
      <c r="H3" s="2" t="str">
        <f t="shared" ref="H3:H21" si="0">IF(E20&gt;50,"pass","fail")</f>
        <v>fail</v>
      </c>
    </row>
    <row r="4" spans="1:12" x14ac:dyDescent="0.3">
      <c r="A4" s="2">
        <v>103</v>
      </c>
      <c r="B4" s="2" t="s">
        <v>9</v>
      </c>
      <c r="C4" s="2" t="s">
        <v>7</v>
      </c>
      <c r="D4" s="2">
        <v>8</v>
      </c>
      <c r="E4" s="3">
        <v>3</v>
      </c>
      <c r="F4" s="2">
        <v>95</v>
      </c>
      <c r="G4" s="2" t="s">
        <v>28</v>
      </c>
      <c r="H4" s="2" t="str">
        <f t="shared" si="0"/>
        <v>fail</v>
      </c>
    </row>
    <row r="5" spans="1:12" x14ac:dyDescent="0.3">
      <c r="A5" s="2">
        <v>104</v>
      </c>
      <c r="B5" s="2" t="s">
        <v>10</v>
      </c>
      <c r="C5" s="2" t="s">
        <v>7</v>
      </c>
      <c r="D5" s="2">
        <v>5</v>
      </c>
      <c r="E5" s="3">
        <v>6</v>
      </c>
      <c r="F5" s="2">
        <v>82</v>
      </c>
      <c r="G5" s="2" t="s">
        <v>27</v>
      </c>
      <c r="H5" s="2" t="str">
        <f t="shared" si="0"/>
        <v>fail</v>
      </c>
    </row>
    <row r="6" spans="1:12" x14ac:dyDescent="0.3">
      <c r="A6" s="2">
        <v>105</v>
      </c>
      <c r="B6" s="2" t="s">
        <v>11</v>
      </c>
      <c r="C6" s="2" t="s">
        <v>7</v>
      </c>
      <c r="D6" s="2">
        <v>7</v>
      </c>
      <c r="E6" s="3">
        <v>2</v>
      </c>
      <c r="F6" s="2">
        <v>78</v>
      </c>
      <c r="G6" s="2" t="s">
        <v>29</v>
      </c>
      <c r="H6" s="2" t="str">
        <f t="shared" si="0"/>
        <v>fail</v>
      </c>
      <c r="I6" s="6"/>
    </row>
    <row r="7" spans="1:12" x14ac:dyDescent="0.3">
      <c r="A7" s="2">
        <v>106</v>
      </c>
      <c r="B7" s="2" t="s">
        <v>12</v>
      </c>
      <c r="C7" s="2" t="s">
        <v>7</v>
      </c>
      <c r="D7" s="2">
        <v>6</v>
      </c>
      <c r="E7" s="3">
        <v>7</v>
      </c>
      <c r="F7" s="2">
        <v>87</v>
      </c>
      <c r="G7" s="2" t="s">
        <v>30</v>
      </c>
      <c r="H7" s="2" t="str">
        <f t="shared" si="0"/>
        <v>fail</v>
      </c>
    </row>
    <row r="8" spans="1:12" x14ac:dyDescent="0.3">
      <c r="A8" s="2">
        <v>107</v>
      </c>
      <c r="B8" s="2" t="s">
        <v>13</v>
      </c>
      <c r="C8" s="2" t="s">
        <v>7</v>
      </c>
      <c r="D8" s="2">
        <v>8</v>
      </c>
      <c r="E8" s="3">
        <v>4</v>
      </c>
      <c r="F8" s="2">
        <v>98</v>
      </c>
      <c r="G8" s="2" t="s">
        <v>27</v>
      </c>
      <c r="H8" s="2" t="str">
        <f t="shared" si="0"/>
        <v>fail</v>
      </c>
    </row>
    <row r="9" spans="1:12" x14ac:dyDescent="0.3">
      <c r="A9" s="2">
        <v>108</v>
      </c>
      <c r="B9" s="2" t="s">
        <v>14</v>
      </c>
      <c r="C9" s="2" t="s">
        <v>7</v>
      </c>
      <c r="D9" s="2">
        <v>5</v>
      </c>
      <c r="E9" s="3">
        <v>3</v>
      </c>
      <c r="F9" s="2">
        <v>75</v>
      </c>
      <c r="G9" s="2" t="s">
        <v>29</v>
      </c>
      <c r="H9" s="2" t="str">
        <f t="shared" si="0"/>
        <v>fail</v>
      </c>
      <c r="I9" s="5"/>
    </row>
    <row r="10" spans="1:12" x14ac:dyDescent="0.3">
      <c r="A10" s="2">
        <v>109</v>
      </c>
      <c r="B10" s="2" t="s">
        <v>31</v>
      </c>
      <c r="C10" s="2" t="s">
        <v>7</v>
      </c>
      <c r="D10" s="2">
        <v>7</v>
      </c>
      <c r="E10" s="3">
        <v>6</v>
      </c>
      <c r="F10" s="2">
        <v>91</v>
      </c>
      <c r="G10" s="2" t="s">
        <v>30</v>
      </c>
      <c r="H10" s="2" t="str">
        <f t="shared" si="0"/>
        <v>fail</v>
      </c>
    </row>
    <row r="11" spans="1:12" x14ac:dyDescent="0.3">
      <c r="A11" s="2">
        <v>110</v>
      </c>
      <c r="B11" s="2" t="s">
        <v>15</v>
      </c>
      <c r="C11" s="2" t="s">
        <v>7</v>
      </c>
      <c r="D11" s="2">
        <v>6</v>
      </c>
      <c r="E11" s="3">
        <v>4</v>
      </c>
      <c r="F11" s="2">
        <v>85</v>
      </c>
      <c r="G11" s="2" t="s">
        <v>28</v>
      </c>
      <c r="H11" s="2" t="str">
        <f t="shared" si="0"/>
        <v>fail</v>
      </c>
      <c r="J11" s="2"/>
      <c r="K11" s="2"/>
      <c r="L11" s="2"/>
    </row>
    <row r="12" spans="1:12" x14ac:dyDescent="0.3">
      <c r="A12" s="2">
        <v>111</v>
      </c>
      <c r="B12" s="2" t="s">
        <v>16</v>
      </c>
      <c r="C12" s="2" t="s">
        <v>7</v>
      </c>
      <c r="D12" s="2">
        <v>8</v>
      </c>
      <c r="E12" s="3">
        <v>5</v>
      </c>
      <c r="F12" s="2">
        <v>96</v>
      </c>
      <c r="G12" s="2" t="s">
        <v>30</v>
      </c>
      <c r="H12" s="2" t="str">
        <f t="shared" si="0"/>
        <v>fail</v>
      </c>
    </row>
    <row r="13" spans="1:12" x14ac:dyDescent="0.3">
      <c r="A13" s="2">
        <v>112</v>
      </c>
      <c r="B13" s="2" t="s">
        <v>17</v>
      </c>
      <c r="C13" s="2" t="s">
        <v>7</v>
      </c>
      <c r="D13" s="2">
        <v>5</v>
      </c>
      <c r="E13" s="3">
        <v>2</v>
      </c>
      <c r="F13" s="2">
        <v>87</v>
      </c>
      <c r="G13" s="2" t="s">
        <v>29</v>
      </c>
      <c r="H13" s="2" t="str">
        <f t="shared" si="0"/>
        <v>fail</v>
      </c>
    </row>
    <row r="14" spans="1:12" x14ac:dyDescent="0.3">
      <c r="A14" s="2">
        <v>113</v>
      </c>
      <c r="B14" s="2" t="s">
        <v>18</v>
      </c>
      <c r="C14" s="2" t="s">
        <v>7</v>
      </c>
      <c r="D14" s="2">
        <v>7</v>
      </c>
      <c r="E14" s="3">
        <v>5</v>
      </c>
      <c r="F14" s="2">
        <v>89</v>
      </c>
      <c r="G14" s="2" t="s">
        <v>27</v>
      </c>
      <c r="H14" s="2" t="str">
        <f t="shared" si="0"/>
        <v>fail</v>
      </c>
    </row>
    <row r="15" spans="1:12" x14ac:dyDescent="0.3">
      <c r="A15" s="2">
        <v>114</v>
      </c>
      <c r="B15" s="2" t="s">
        <v>19</v>
      </c>
      <c r="C15" s="2" t="s">
        <v>7</v>
      </c>
      <c r="D15" s="2">
        <v>6</v>
      </c>
      <c r="E15" s="3">
        <v>3</v>
      </c>
      <c r="F15" s="2">
        <v>80</v>
      </c>
      <c r="G15" s="2" t="s">
        <v>28</v>
      </c>
      <c r="H15" s="2" t="str">
        <f t="shared" si="0"/>
        <v>fail</v>
      </c>
    </row>
    <row r="16" spans="1:12" x14ac:dyDescent="0.3">
      <c r="A16" s="2">
        <v>115</v>
      </c>
      <c r="B16" s="2" t="s">
        <v>20</v>
      </c>
      <c r="C16" s="2" t="s">
        <v>7</v>
      </c>
      <c r="D16" s="2">
        <v>8</v>
      </c>
      <c r="E16" s="3">
        <v>6</v>
      </c>
      <c r="F16" s="2">
        <v>93</v>
      </c>
      <c r="G16" s="2" t="s">
        <v>30</v>
      </c>
      <c r="H16" s="2" t="str">
        <f t="shared" si="0"/>
        <v>fail</v>
      </c>
    </row>
    <row r="17" spans="1:8" x14ac:dyDescent="0.3">
      <c r="A17" s="2">
        <v>116</v>
      </c>
      <c r="B17" s="2" t="s">
        <v>21</v>
      </c>
      <c r="C17" s="2" t="s">
        <v>7</v>
      </c>
      <c r="D17" s="2">
        <v>5</v>
      </c>
      <c r="E17" s="3">
        <v>4</v>
      </c>
      <c r="F17" s="2">
        <v>87</v>
      </c>
      <c r="G17" s="2" t="s">
        <v>28</v>
      </c>
      <c r="H17" s="2" t="str">
        <f t="shared" si="0"/>
        <v>fail</v>
      </c>
    </row>
    <row r="18" spans="1:8" x14ac:dyDescent="0.3">
      <c r="A18" s="2">
        <v>117</v>
      </c>
      <c r="B18" s="2" t="s">
        <v>22</v>
      </c>
      <c r="C18" s="2" t="s">
        <v>7</v>
      </c>
      <c r="D18" s="2">
        <v>7</v>
      </c>
      <c r="E18" s="3">
        <v>7</v>
      </c>
      <c r="F18" s="2">
        <v>98</v>
      </c>
      <c r="G18" s="2" t="s">
        <v>30</v>
      </c>
      <c r="H18" s="2" t="str">
        <f t="shared" si="0"/>
        <v>fail</v>
      </c>
    </row>
    <row r="19" spans="1:8" x14ac:dyDescent="0.3">
      <c r="A19" s="2">
        <v>118</v>
      </c>
      <c r="B19" s="2" t="s">
        <v>23</v>
      </c>
      <c r="C19" s="2" t="s">
        <v>7</v>
      </c>
      <c r="D19" s="2">
        <v>6</v>
      </c>
      <c r="E19" s="3">
        <v>2</v>
      </c>
      <c r="F19" s="2">
        <v>74</v>
      </c>
      <c r="G19" s="2" t="s">
        <v>29</v>
      </c>
      <c r="H19" s="2" t="str">
        <f t="shared" si="0"/>
        <v>fail</v>
      </c>
    </row>
    <row r="20" spans="1:8" x14ac:dyDescent="0.3">
      <c r="A20" s="2">
        <v>119</v>
      </c>
      <c r="B20" s="2" t="s">
        <v>24</v>
      </c>
      <c r="C20" s="2" t="s">
        <v>7</v>
      </c>
      <c r="D20" s="2">
        <v>8</v>
      </c>
      <c r="E20" s="3">
        <v>5</v>
      </c>
      <c r="F20" s="2">
        <v>97</v>
      </c>
      <c r="G20" s="2" t="s">
        <v>30</v>
      </c>
      <c r="H20" s="2" t="str">
        <f t="shared" si="0"/>
        <v>fail</v>
      </c>
    </row>
    <row r="21" spans="1:8" x14ac:dyDescent="0.3">
      <c r="A21" s="2">
        <v>120</v>
      </c>
      <c r="B21" s="2" t="s">
        <v>25</v>
      </c>
      <c r="C21" s="2" t="s">
        <v>7</v>
      </c>
      <c r="D21" s="2">
        <v>7</v>
      </c>
      <c r="E21" s="3">
        <v>3</v>
      </c>
      <c r="F21" s="2">
        <v>83</v>
      </c>
      <c r="G21" s="2" t="s">
        <v>28</v>
      </c>
      <c r="H21" s="2" t="str">
        <f t="shared" si="0"/>
        <v>fail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B96BC-C18A-45B5-B99C-24C75EE146D7}">
  <dimension ref="A2:V9"/>
  <sheetViews>
    <sheetView topLeftCell="C1" zoomScale="88" workbookViewId="0">
      <selection activeCell="N7" sqref="N7"/>
    </sheetView>
  </sheetViews>
  <sheetFormatPr defaultRowHeight="14.4" x14ac:dyDescent="0.3"/>
  <cols>
    <col min="1" max="1" width="12.6640625" bestFit="1" customWidth="1"/>
    <col min="2" max="2" width="20" bestFit="1" customWidth="1"/>
    <col min="3" max="3" width="17.21875" bestFit="1" customWidth="1"/>
    <col min="8" max="8" width="12.44140625" bestFit="1" customWidth="1"/>
    <col min="9" max="9" width="20" bestFit="1" customWidth="1"/>
    <col min="15" max="15" width="12.6640625" bestFit="1" customWidth="1"/>
    <col min="16" max="16" width="21.5546875" bestFit="1" customWidth="1"/>
    <col min="20" max="20" width="12.6640625" bestFit="1" customWidth="1"/>
    <col min="21" max="21" width="20.21875" bestFit="1" customWidth="1"/>
  </cols>
  <sheetData>
    <row r="2" spans="1:22" x14ac:dyDescent="0.3">
      <c r="A2" s="11" t="s">
        <v>36</v>
      </c>
      <c r="B2" s="11"/>
      <c r="H2" s="11" t="s">
        <v>37</v>
      </c>
      <c r="I2" s="11"/>
      <c r="J2" s="11"/>
      <c r="O2" s="11" t="s">
        <v>39</v>
      </c>
      <c r="P2" s="11"/>
      <c r="Q2" s="11"/>
      <c r="T2" s="11" t="s">
        <v>41</v>
      </c>
      <c r="U2" s="11"/>
      <c r="V2" s="11"/>
    </row>
    <row r="3" spans="1:22" x14ac:dyDescent="0.3">
      <c r="A3" s="7" t="s">
        <v>33</v>
      </c>
      <c r="B3" t="s">
        <v>35</v>
      </c>
      <c r="T3" s="7" t="s">
        <v>33</v>
      </c>
      <c r="U3" t="s">
        <v>42</v>
      </c>
    </row>
    <row r="4" spans="1:22" x14ac:dyDescent="0.3">
      <c r="A4" s="4" t="s">
        <v>27</v>
      </c>
      <c r="B4" s="8">
        <v>4.8</v>
      </c>
      <c r="H4" s="7" t="s">
        <v>33</v>
      </c>
      <c r="I4" t="s">
        <v>38</v>
      </c>
      <c r="O4" s="7" t="s">
        <v>33</v>
      </c>
      <c r="P4" t="s">
        <v>40</v>
      </c>
      <c r="T4" s="4" t="s">
        <v>27</v>
      </c>
      <c r="U4">
        <v>5</v>
      </c>
    </row>
    <row r="5" spans="1:22" x14ac:dyDescent="0.3">
      <c r="A5" s="4" t="s">
        <v>30</v>
      </c>
      <c r="B5" s="8">
        <v>6</v>
      </c>
      <c r="H5" s="4" t="s">
        <v>27</v>
      </c>
      <c r="I5">
        <v>5.6</v>
      </c>
      <c r="O5" s="4" t="s">
        <v>27</v>
      </c>
      <c r="P5">
        <v>87.8</v>
      </c>
      <c r="T5" s="4" t="s">
        <v>30</v>
      </c>
      <c r="U5">
        <v>6</v>
      </c>
    </row>
    <row r="6" spans="1:22" x14ac:dyDescent="0.3">
      <c r="A6" s="4" t="s">
        <v>28</v>
      </c>
      <c r="B6" s="8">
        <v>3.4</v>
      </c>
      <c r="H6" s="4" t="s">
        <v>30</v>
      </c>
      <c r="I6">
        <v>7.333333333333333</v>
      </c>
      <c r="O6" s="4" t="s">
        <v>30</v>
      </c>
      <c r="P6">
        <v>93.666666666666671</v>
      </c>
      <c r="T6" s="4" t="s">
        <v>28</v>
      </c>
      <c r="U6">
        <v>5</v>
      </c>
    </row>
    <row r="7" spans="1:22" x14ac:dyDescent="0.3">
      <c r="A7" s="4" t="s">
        <v>29</v>
      </c>
      <c r="B7" s="8">
        <v>2.25</v>
      </c>
      <c r="H7" s="4" t="s">
        <v>28</v>
      </c>
      <c r="I7">
        <v>6.4</v>
      </c>
      <c r="O7" s="4" t="s">
        <v>28</v>
      </c>
      <c r="P7">
        <v>86</v>
      </c>
      <c r="T7" s="4" t="s">
        <v>29</v>
      </c>
      <c r="U7">
        <v>4</v>
      </c>
    </row>
    <row r="8" spans="1:22" x14ac:dyDescent="0.3">
      <c r="A8" s="4" t="s">
        <v>34</v>
      </c>
      <c r="B8" s="8">
        <v>4.3</v>
      </c>
      <c r="H8" s="4" t="s">
        <v>29</v>
      </c>
      <c r="I8">
        <v>5.75</v>
      </c>
      <c r="O8" s="4" t="s">
        <v>29</v>
      </c>
      <c r="P8">
        <v>78.5</v>
      </c>
      <c r="T8" s="4" t="s">
        <v>34</v>
      </c>
      <c r="U8">
        <v>20</v>
      </c>
    </row>
    <row r="9" spans="1:22" x14ac:dyDescent="0.3">
      <c r="H9" s="4" t="s">
        <v>34</v>
      </c>
      <c r="I9">
        <v>6.35</v>
      </c>
      <c r="O9" s="4" t="s">
        <v>34</v>
      </c>
      <c r="P9">
        <v>87.25</v>
      </c>
    </row>
  </sheetData>
  <mergeCells count="4">
    <mergeCell ref="A2:B2"/>
    <mergeCell ref="H2:J2"/>
    <mergeCell ref="O2:Q2"/>
    <mergeCell ref="T2:V2"/>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5917-7766-4202-837D-16E453FACCD9}">
  <dimension ref="A1:W2"/>
  <sheetViews>
    <sheetView zoomScale="71" workbookViewId="0">
      <selection activeCell="U15" sqref="U15"/>
    </sheetView>
  </sheetViews>
  <sheetFormatPr defaultRowHeight="14.4" x14ac:dyDescent="0.3"/>
  <sheetData>
    <row r="1" spans="1:23" x14ac:dyDescent="0.3">
      <c r="A1" s="9" t="s">
        <v>43</v>
      </c>
      <c r="B1" s="10"/>
      <c r="C1" s="10"/>
      <c r="D1" s="10"/>
      <c r="E1" s="10"/>
      <c r="F1" s="10"/>
      <c r="G1" s="10"/>
      <c r="H1" s="10"/>
      <c r="I1" s="10"/>
      <c r="J1" s="10"/>
      <c r="K1" s="10"/>
      <c r="L1" s="10"/>
      <c r="M1" s="10"/>
      <c r="N1" s="10"/>
      <c r="O1" s="10"/>
      <c r="P1" s="10"/>
      <c r="Q1" s="10"/>
      <c r="R1" s="10"/>
      <c r="S1" s="10"/>
      <c r="T1" s="10"/>
      <c r="U1" s="10"/>
      <c r="V1" s="10"/>
      <c r="W1" s="10"/>
    </row>
    <row r="2" spans="1:23" x14ac:dyDescent="0.3">
      <c r="A2" s="10"/>
      <c r="B2" s="10"/>
      <c r="C2" s="10"/>
      <c r="D2" s="10"/>
      <c r="E2" s="10"/>
      <c r="F2" s="10"/>
      <c r="G2" s="10"/>
      <c r="H2" s="10"/>
      <c r="I2" s="10"/>
      <c r="J2" s="10"/>
      <c r="K2" s="10"/>
      <c r="L2" s="10"/>
      <c r="M2" s="10"/>
      <c r="N2" s="10"/>
      <c r="O2" s="10"/>
      <c r="P2" s="10"/>
      <c r="Q2" s="10"/>
      <c r="R2" s="10"/>
      <c r="S2" s="10"/>
      <c r="T2" s="10"/>
      <c r="U2" s="10"/>
      <c r="V2" s="10"/>
      <c r="W2" s="10"/>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 performance</vt:lpstr>
      <vt:lpstr>sheet1</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Thanuja Reddy</dc:creator>
  <cp:lastModifiedBy>Thanuja Reddy</cp:lastModifiedBy>
  <dcterms:created xsi:type="dcterms:W3CDTF">2026-10-05T14:11:04Z</dcterms:created>
  <dcterms:modified xsi:type="dcterms:W3CDTF">2026-10-14T08:53:44Z</dcterms:modified>
</cp:coreProperties>
</file>