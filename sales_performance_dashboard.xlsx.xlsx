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9710432c689a61b/Documents/"/>
    </mc:Choice>
  </mc:AlternateContent>
  <xr:revisionPtr revIDLastSave="567" documentId="8_{12B8F523-74B0-4A5F-B132-B39831C9B3BD}" xr6:coauthVersionLast="47" xr6:coauthVersionMax="47" xr10:uidLastSave="{30077413-0A23-4580-9439-A9253D06E7E1}"/>
  <bookViews>
    <workbookView xWindow="-108" yWindow="-108" windowWidth="23256" windowHeight="12456" activeTab="2" xr2:uid="{0D347B55-6EDB-4391-8D7C-8BF51546FE12}"/>
  </bookViews>
  <sheets>
    <sheet name="data" sheetId="1" r:id="rId1"/>
    <sheet name="charts" sheetId="2" r:id="rId2"/>
    <sheet name="dash board" sheetId="3" r:id="rId3"/>
  </sheets>
  <definedNames>
    <definedName name="Slicer_Months__Date">#N/A</definedName>
    <definedName name="Slicer_Product">#N/A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C2" i="2"/>
  <c r="B2" i="2"/>
  <c r="A2" i="2"/>
</calcChain>
</file>

<file path=xl/sharedStrings.xml><?xml version="1.0" encoding="utf-8"?>
<sst xmlns="http://schemas.openxmlformats.org/spreadsheetml/2006/main" count="105" uniqueCount="57">
  <si>
    <t>Order ID</t>
  </si>
  <si>
    <t>Customer</t>
  </si>
  <si>
    <t>Region</t>
  </si>
  <si>
    <t>Product</t>
  </si>
  <si>
    <t>Quantity</t>
  </si>
  <si>
    <t>Sales</t>
  </si>
  <si>
    <t>Profit</t>
  </si>
  <si>
    <t>ORD001</t>
  </si>
  <si>
    <t>Ravi</t>
  </si>
  <si>
    <t>South</t>
  </si>
  <si>
    <t>Laptop</t>
  </si>
  <si>
    <t>ORD002</t>
  </si>
  <si>
    <t>Priya</t>
  </si>
  <si>
    <t>East</t>
  </si>
  <si>
    <t>Mobile</t>
  </si>
  <si>
    <t>ORD003</t>
  </si>
  <si>
    <t>Arun</t>
  </si>
  <si>
    <t>West</t>
  </si>
  <si>
    <t>Headphones</t>
  </si>
  <si>
    <t>ORD004</t>
  </si>
  <si>
    <t>Sneha</t>
  </si>
  <si>
    <t>Tablet</t>
  </si>
  <si>
    <t>ORD005</t>
  </si>
  <si>
    <t>Kiran</t>
  </si>
  <si>
    <t>North</t>
  </si>
  <si>
    <t>ORD006</t>
  </si>
  <si>
    <t>Anjali</t>
  </si>
  <si>
    <t>ORD007</t>
  </si>
  <si>
    <t>Rahul</t>
  </si>
  <si>
    <t>ORD008</t>
  </si>
  <si>
    <t>Divya</t>
  </si>
  <si>
    <t>ORD009</t>
  </si>
  <si>
    <t>ORD010</t>
  </si>
  <si>
    <t>ORD011</t>
  </si>
  <si>
    <t>ORD012</t>
  </si>
  <si>
    <t>ORD013</t>
  </si>
  <si>
    <t>ORD014</t>
  </si>
  <si>
    <t>ORD015</t>
  </si>
  <si>
    <t>west</t>
  </si>
  <si>
    <t>total sales</t>
  </si>
  <si>
    <t>total profit</t>
  </si>
  <si>
    <t>average sales</t>
  </si>
  <si>
    <t>number of orders</t>
  </si>
  <si>
    <t>Row Labels</t>
  </si>
  <si>
    <t>Grand Total</t>
  </si>
  <si>
    <t>Sum of Sales</t>
  </si>
  <si>
    <t>sales by region</t>
  </si>
  <si>
    <t>sales by product</t>
  </si>
  <si>
    <t>Sum of Profit</t>
  </si>
  <si>
    <t>profit by products</t>
  </si>
  <si>
    <t>Jan</t>
  </si>
  <si>
    <t>Feb</t>
  </si>
  <si>
    <t>Mar</t>
  </si>
  <si>
    <t>Aug</t>
  </si>
  <si>
    <t>monthly sales</t>
  </si>
  <si>
    <t>Column1</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</si>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</sst>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20"/>
      <color theme="1"/>
      <name val="Aptos Narrow"/>
      <family val="2"/>
      <scheme val="minor"/>
    </font>
    <font>
      <sz val="36"/>
      <color theme="3" tint="0.499984740745262"/>
      <name val="Aptos Narrow"/>
      <family val="2"/>
      <scheme val="minor"/>
    </font>
  </fonts>
  <fills count="3">
    <fill>
      <patternFill patternType="none"/>
    </fill>
    <fill>
      <patternFill patternType="gray125"/>
    </fill>
    <fill>
      <patternFill patternType="solid">
        <fgColor rgb="FFD2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1" xfId="0" applyBorder="1" applyAlignment="1">
      <alignment horizontal="center" vertical="center" wrapText="1"/>
    </xf>
    <xf numFmtId="14" fontId="0" fillId="0" borderId="2" xfId="0" applyNumberFormat="1"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14" fontId="0" fillId="0" borderId="7"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1" fillId="0" borderId="1" xfId="0" applyFont="1" applyBorder="1" applyAlignment="1">
      <alignment horizontal="center"/>
    </xf>
    <xf numFmtId="0" fontId="0" fillId="0" borderId="1" xfId="0" applyBorder="1" applyAlignment="1">
      <alignment horizontal="center"/>
    </xf>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center"/>
    </xf>
    <xf numFmtId="0" fontId="2" fillId="0" borderId="0" xfId="0" applyFont="1" applyAlignment="1">
      <alignment horizontal="center"/>
    </xf>
    <xf numFmtId="0" fontId="3" fillId="2" borderId="0" xfId="0" applyFont="1" applyFill="1" applyAlignment="1">
      <alignment horizontal="center"/>
    </xf>
  </cellXfs>
  <cellStyles count="1">
    <cellStyle name="Normal" xfId="0" builtinId="0"/>
  </cellStyles>
  <dxfs count="13">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[sales_performance_dashboard.xlsx.xlsx]charts!PivotTable1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charts!$G$6:$G$10</c:f>
              <c:strCache>
                <c:ptCount val="4"/>
                <c:pt idx="0">
                  <c:v>East</c:v>
                </c:pt>
                <c:pt idx="1">
                  <c:v>North</c:v>
                </c:pt>
                <c:pt idx="2">
                  <c:v>South</c:v>
                </c:pt>
                <c:pt idx="3">
                  <c:v>west</c:v>
                </c:pt>
              </c:strCache>
            </c:strRef>
          </c:cat>
          <c:val>
            <c:numRef>
              <c:f>charts!$H$6:$H$10</c:f>
              <c:numCache>
                <c:formatCode>General</c:formatCode>
                <c:ptCount val="4"/>
                <c:pt idx="0">
                  <c:v>270000</c:v>
                </c:pt>
                <c:pt idx="1">
                  <c:v>97000</c:v>
                </c:pt>
                <c:pt idx="2">
                  <c:v>208000</c:v>
                </c:pt>
                <c:pt idx="3">
                  <c:v>250000</c:v>
                </c:pt>
              </c:numCache>
            </c:numRef>
          </c:val>
          <c:extLst>
            <c:ext xmlns:c16="http://schemas.microsoft.com/office/drawing/2014/chart" uri="{C3380CC4-5D6E-409C-BE32-E72D297353CC}">
              <c16:uniqueId val="{00000000-42BC-4FED-8528-3FD320DF54E0}"/>
            </c:ext>
          </c:extLst>
        </c:ser>
        <c:dLbls>
          <c:dLblPos val="outEnd"/>
          <c:showLegendKey val="0"/>
          <c:showVal val="1"/>
          <c:showCatName val="0"/>
          <c:showSerName val="0"/>
          <c:showPercent val="0"/>
          <c:showBubbleSize val="0"/>
        </c:dLbls>
        <c:gapWidth val="219"/>
        <c:overlap val="-27"/>
        <c:axId val="1985253135"/>
        <c:axId val="1989964911"/>
      </c:barChart>
      <c:catAx>
        <c:axId val="1985253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964911"/>
        <c:crosses val="autoZero"/>
        <c:auto val="1"/>
        <c:lblAlgn val="ctr"/>
        <c:lblOffset val="100"/>
        <c:noMultiLvlLbl val="0"/>
      </c:catAx>
      <c:valAx>
        <c:axId val="1989964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charts!$N$5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charts!$M$6:$M$10</c:f>
              <c:strCache>
                <c:ptCount val="4"/>
                <c:pt idx="0">
                  <c:v>Headphones</c:v>
                </c:pt>
                <c:pt idx="1">
                  <c:v>Laptop</c:v>
                </c:pt>
                <c:pt idx="2">
                  <c:v>Mobile</c:v>
                </c:pt>
                <c:pt idx="3">
                  <c:v>Tablet</c:v>
                </c:pt>
              </c:strCache>
            </c:strRef>
          </c:cat>
          <c:val>
            <c:numRef>
              <c:f>charts!$N$6:$N$10</c:f>
              <c:numCache>
                <c:formatCode>General</c:formatCode>
                <c:ptCount val="4"/>
                <c:pt idx="0">
                  <c:v>45000</c:v>
                </c:pt>
                <c:pt idx="1">
                  <c:v>360000</c:v>
                </c:pt>
                <c:pt idx="2">
                  <c:v>240000</c:v>
                </c:pt>
                <c:pt idx="3">
                  <c:v>180000</c:v>
                </c:pt>
              </c:numCache>
            </c:numRef>
          </c:val>
          <c:extLst>
            <c:ext xmlns:c16="http://schemas.microsoft.com/office/drawing/2014/chart" uri="{C3380CC4-5D6E-409C-BE32-E72D297353CC}">
              <c16:uniqueId val="{00000000-1BC3-45A0-A706-A20C4F6A7640}"/>
            </c:ext>
          </c:extLst>
        </c:ser>
        <c:dLbls>
          <c:dLblPos val="outEnd"/>
          <c:showLegendKey val="0"/>
          <c:showVal val="1"/>
          <c:showCatName val="0"/>
          <c:showSerName val="0"/>
          <c:showPercent val="0"/>
          <c:showBubbleSize val="0"/>
        </c:dLbls>
        <c:gapWidth val="182"/>
        <c:axId val="1985308351"/>
        <c:axId val="1990007631"/>
      </c:barChart>
      <c:catAx>
        <c:axId val="1985308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07631"/>
        <c:crosses val="autoZero"/>
        <c:auto val="1"/>
        <c:lblAlgn val="ctr"/>
        <c:lblOffset val="100"/>
        <c:noMultiLvlLbl val="0"/>
      </c:catAx>
      <c:valAx>
        <c:axId val="19900076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0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[sales_performance_dashboard.xlsx.xlsx]charts!PivotTable3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6810194878231"/>
          <c:y val="0.2401367016622922"/>
          <c:w val="0.75083092738407697"/>
          <c:h val="0.53811424613589964"/>
        </c:manualLayout>
      </c:layout>
      <c:barChart>
        <c:barDir val="col"/>
        <c:grouping val="clustered"/>
        <c:varyColors val="0"/>
        <c:ser>
          <c:idx val="0"/>
          <c:order val="0"/>
          <c:tx>
            <c:strRef>
              <c:f>charts!$W$5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charts!$V$6:$V$10</c:f>
              <c:strCache>
                <c:ptCount val="4"/>
                <c:pt idx="0">
                  <c:v>Headphones</c:v>
                </c:pt>
                <c:pt idx="1">
                  <c:v>Laptop</c:v>
                </c:pt>
                <c:pt idx="2">
                  <c:v>Mobile</c:v>
                </c:pt>
                <c:pt idx="3">
                  <c:v>Tablet</c:v>
                </c:pt>
              </c:strCache>
            </c:strRef>
          </c:cat>
          <c:val>
            <c:numRef>
              <c:f>charts!$W$6:$W$10</c:f>
              <c:numCache>
                <c:formatCode>General</c:formatCode>
                <c:ptCount val="4"/>
                <c:pt idx="0">
                  <c:v>12000</c:v>
                </c:pt>
                <c:pt idx="1">
                  <c:v>51000</c:v>
                </c:pt>
                <c:pt idx="2">
                  <c:v>36000</c:v>
                </c:pt>
                <c:pt idx="3">
                  <c:v>31000</c:v>
                </c:pt>
              </c:numCache>
            </c:numRef>
          </c:val>
          <c:extLst>
            <c:ext xmlns:c16="http://schemas.microsoft.com/office/drawing/2014/chart" uri="{C3380CC4-5D6E-409C-BE32-E72D297353CC}">
              <c16:uniqueId val="{00000000-5A5B-4F36-9779-0BCC3E62D93D}"/>
            </c:ext>
          </c:extLst>
        </c:ser>
        <c:dLbls>
          <c:dLblPos val="outEnd"/>
          <c:showLegendKey val="0"/>
          <c:showVal val="1"/>
          <c:showCatName val="0"/>
          <c:showSerName val="0"/>
          <c:showPercent val="0"/>
          <c:showBubbleSize val="0"/>
        </c:dLbls>
        <c:gapWidth val="219"/>
        <c:overlap val="-27"/>
        <c:axId val="1985333407"/>
        <c:axId val="1990003311"/>
      </c:barChart>
      <c:catAx>
        <c:axId val="1985333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03311"/>
        <c:crosses val="autoZero"/>
        <c:auto val="1"/>
        <c:lblAlgn val="ctr"/>
        <c:lblOffset val="100"/>
        <c:noMultiLvlLbl val="0"/>
      </c:catAx>
      <c:valAx>
        <c:axId val="199000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manualLayout>
              <c:xMode val="edge"/>
              <c:yMode val="edge"/>
              <c:x val="1.0841982375375895E-2"/>
              <c:y val="0.405524934383202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3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0637105172455"/>
          <c:y val="0.2447661969885343"/>
          <c:w val="0.69896019247594054"/>
          <c:h val="0.53811424613589964"/>
        </c:manualLayout>
      </c:layout>
      <c:lineChart>
        <c:grouping val="standard"/>
        <c:varyColors val="0"/>
        <c:ser>
          <c:idx val="0"/>
          <c:order val="0"/>
          <c:tx>
            <c:strRef>
              <c:f>charts!$AG$4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charts!$AF$5:$AF$9</c:f>
              <c:strCache>
                <c:ptCount val="4"/>
                <c:pt idx="0">
                  <c:v>Jan</c:v>
                </c:pt>
                <c:pt idx="1">
                  <c:v>Feb</c:v>
                </c:pt>
                <c:pt idx="2">
                  <c:v>Mar</c:v>
                </c:pt>
                <c:pt idx="3">
                  <c:v>Aug</c:v>
                </c:pt>
              </c:strCache>
            </c:strRef>
          </c:cat>
          <c:val>
            <c:numRef>
              <c:f>charts!$AG$5:$AG$9</c:f>
              <c:numCache>
                <c:formatCode>General</c:formatCode>
                <c:ptCount val="4"/>
                <c:pt idx="0">
                  <c:v>368000</c:v>
                </c:pt>
                <c:pt idx="1">
                  <c:v>282000</c:v>
                </c:pt>
                <c:pt idx="2">
                  <c:v>135000</c:v>
                </c:pt>
                <c:pt idx="3">
                  <c:v>40000</c:v>
                </c:pt>
              </c:numCache>
            </c:numRef>
          </c:val>
          <c:smooth val="0"/>
          <c:extLst>
            <c:ext xmlns:c16="http://schemas.microsoft.com/office/drawing/2014/chart" uri="{C3380CC4-5D6E-409C-BE32-E72D297353CC}">
              <c16:uniqueId val="{00000000-EB8E-4E38-90F6-307765FFD58B}"/>
            </c:ext>
          </c:extLst>
        </c:ser>
        <c:dLbls>
          <c:showLegendKey val="0"/>
          <c:showVal val="0"/>
          <c:showCatName val="0"/>
          <c:showSerName val="0"/>
          <c:showPercent val="0"/>
          <c:showBubbleSize val="0"/>
        </c:dLbls>
        <c:marker val="1"/>
        <c:smooth val="0"/>
        <c:axId val="1914697695"/>
        <c:axId val="1989959631"/>
      </c:lineChart>
      <c:catAx>
        <c:axId val="191469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manualLayout>
              <c:xMode val="edge"/>
              <c:yMode val="edge"/>
              <c:x val="0.48954291786832993"/>
              <c:y val="0.875504558640696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959631"/>
        <c:crosses val="autoZero"/>
        <c:auto val="1"/>
        <c:lblAlgn val="ctr"/>
        <c:lblOffset val="100"/>
        <c:noMultiLvlLbl val="0"/>
      </c:catAx>
      <c:valAx>
        <c:axId val="198995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manualLayout>
              <c:xMode val="edge"/>
              <c:yMode val="edge"/>
              <c:x val="2.300103154849897E-2"/>
              <c:y val="0.424382511396601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9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[sales_performance_dashboard.xlsx.xlsx]charts!PivotTable1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charts!$G$6:$G$10</c:f>
              <c:strCache>
                <c:ptCount val="4"/>
                <c:pt idx="0">
                  <c:v>East</c:v>
                </c:pt>
                <c:pt idx="1">
                  <c:v>North</c:v>
                </c:pt>
                <c:pt idx="2">
                  <c:v>South</c:v>
                </c:pt>
                <c:pt idx="3">
                  <c:v>west</c:v>
                </c:pt>
              </c:strCache>
            </c:strRef>
          </c:cat>
          <c:val>
            <c:numRef>
              <c:f>charts!$H$6:$H$10</c:f>
              <c:numCache>
                <c:formatCode>General</c:formatCode>
                <c:ptCount val="4"/>
                <c:pt idx="0">
                  <c:v>270000</c:v>
                </c:pt>
                <c:pt idx="1">
                  <c:v>97000</c:v>
                </c:pt>
                <c:pt idx="2">
                  <c:v>208000</c:v>
                </c:pt>
                <c:pt idx="3">
                  <c:v>250000</c:v>
                </c:pt>
              </c:numCache>
            </c:numRef>
          </c:val>
          <c:extLst>
            <c:ext xmlns:c16="http://schemas.microsoft.com/office/drawing/2014/chart" uri="{C3380CC4-5D6E-409C-BE32-E72D297353CC}">
              <c16:uniqueId val="{00000000-97BD-43F0-ADE2-9E06661AECDB}"/>
            </c:ext>
          </c:extLst>
        </c:ser>
        <c:dLbls>
          <c:dLblPos val="outEnd"/>
          <c:showLegendKey val="0"/>
          <c:showVal val="1"/>
          <c:showCatName val="0"/>
          <c:showSerName val="0"/>
          <c:showPercent val="0"/>
          <c:showBubbleSize val="0"/>
        </c:dLbls>
        <c:gapWidth val="219"/>
        <c:overlap val="-27"/>
        <c:axId val="1985253135"/>
        <c:axId val="1989964911"/>
      </c:barChart>
      <c:catAx>
        <c:axId val="19852531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964911"/>
        <c:crosses val="autoZero"/>
        <c:auto val="1"/>
        <c:lblAlgn val="ctr"/>
        <c:lblOffset val="100"/>
        <c:noMultiLvlLbl val="0"/>
      </c:catAx>
      <c:valAx>
        <c:axId val="1989964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53135"/>
        <c:crosses val="autoZero"/>
        <c:crossBetween val="between"/>
      </c:valAx>
      <c:spPr>
        <a:noFill/>
        <a:ln>
          <a:noFill/>
        </a:ln>
        <a:effectLst/>
      </c:spPr>
    </c:plotArea>
    <c:legend>
      <c:legendPos val="r"/>
      <c:layout>
        <c:manualLayout>
          <c:xMode val="edge"/>
          <c:yMode val="edge"/>
          <c:x val="0.87760996470268804"/>
          <c:y val="0.53441354986876644"/>
          <c:w val="9.6527966331794737E-2"/>
          <c:h val="8.78912401574803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[sales_performance_dashboard.xlsx.xlsx]charts!PivotTable2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65725185161573"/>
          <c:y val="0.16661631419939579"/>
          <c:w val="0.50699682276557534"/>
          <c:h val="0.59006391195058316"/>
        </c:manualLayout>
      </c:layout>
      <c:barChart>
        <c:barDir val="bar"/>
        <c:grouping val="clustered"/>
        <c:varyColors val="0"/>
        <c:ser>
          <c:idx val="0"/>
          <c:order val="0"/>
          <c:tx>
            <c:strRef>
              <c:f>charts!$N$5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charts!$M$6:$M$10</c:f>
              <c:strCache>
                <c:ptCount val="4"/>
                <c:pt idx="0">
                  <c:v>Headphones</c:v>
                </c:pt>
                <c:pt idx="1">
                  <c:v>Laptop</c:v>
                </c:pt>
                <c:pt idx="2">
                  <c:v>Mobile</c:v>
                </c:pt>
                <c:pt idx="3">
                  <c:v>Tablet</c:v>
                </c:pt>
              </c:strCache>
            </c:strRef>
          </c:cat>
          <c:val>
            <c:numRef>
              <c:f>charts!$N$6:$N$10</c:f>
              <c:numCache>
                <c:formatCode>General</c:formatCode>
                <c:ptCount val="4"/>
                <c:pt idx="0">
                  <c:v>45000</c:v>
                </c:pt>
                <c:pt idx="1">
                  <c:v>360000</c:v>
                </c:pt>
                <c:pt idx="2">
                  <c:v>240000</c:v>
                </c:pt>
                <c:pt idx="3">
                  <c:v>180000</c:v>
                </c:pt>
              </c:numCache>
            </c:numRef>
          </c:val>
          <c:extLst>
            <c:ext xmlns:c16="http://schemas.microsoft.com/office/drawing/2014/chart" uri="{C3380CC4-5D6E-409C-BE32-E72D297353CC}">
              <c16:uniqueId val="{00000000-760B-4EEF-918D-ACD6F0F49374}"/>
            </c:ext>
          </c:extLst>
        </c:ser>
        <c:dLbls>
          <c:dLblPos val="outEnd"/>
          <c:showLegendKey val="0"/>
          <c:showVal val="1"/>
          <c:showCatName val="0"/>
          <c:showSerName val="0"/>
          <c:showPercent val="0"/>
          <c:showBubbleSize val="0"/>
        </c:dLbls>
        <c:gapWidth val="182"/>
        <c:axId val="1985308351"/>
        <c:axId val="1990007631"/>
      </c:barChart>
      <c:catAx>
        <c:axId val="198530835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07631"/>
        <c:crosses val="autoZero"/>
        <c:auto val="1"/>
        <c:lblAlgn val="ctr"/>
        <c:lblOffset val="100"/>
        <c:noMultiLvlLbl val="0"/>
      </c:catAx>
      <c:valAx>
        <c:axId val="19900076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0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products</a:t>
            </a:r>
            <a:endParaRPr lang="en-US"/>
          </a:p>
        </c:rich>
      </c:tx>
      <c:layout>
        <c:manualLayout>
          <c:xMode val="edge"/>
          <c:yMode val="edge"/>
          <c:x val="0.3282306020341208"/>
          <c:y val="3.2467532467532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87859754262627"/>
          <c:y val="0.24013652705176558"/>
          <c:w val="0.75083092738407697"/>
          <c:h val="0.53811424613589964"/>
        </c:manualLayout>
      </c:layout>
      <c:barChart>
        <c:barDir val="col"/>
        <c:grouping val="clustered"/>
        <c:varyColors val="0"/>
        <c:ser>
          <c:idx val="0"/>
          <c:order val="0"/>
          <c:tx>
            <c:strRef>
              <c:f>charts!$W$5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charts!$V$6:$V$10</c:f>
              <c:strCache>
                <c:ptCount val="4"/>
                <c:pt idx="0">
                  <c:v>Headphones</c:v>
                </c:pt>
                <c:pt idx="1">
                  <c:v>Laptop</c:v>
                </c:pt>
                <c:pt idx="2">
                  <c:v>Mobile</c:v>
                </c:pt>
                <c:pt idx="3">
                  <c:v>Tablet</c:v>
                </c:pt>
              </c:strCache>
            </c:strRef>
          </c:cat>
          <c:val>
            <c:numRef>
              <c:f>charts!$W$6:$W$10</c:f>
              <c:numCache>
                <c:formatCode>General</c:formatCode>
                <c:ptCount val="4"/>
                <c:pt idx="0">
                  <c:v>12000</c:v>
                </c:pt>
                <c:pt idx="1">
                  <c:v>51000</c:v>
                </c:pt>
                <c:pt idx="2">
                  <c:v>36000</c:v>
                </c:pt>
                <c:pt idx="3">
                  <c:v>31000</c:v>
                </c:pt>
              </c:numCache>
            </c:numRef>
          </c:val>
          <c:extLst>
            <c:ext xmlns:c16="http://schemas.microsoft.com/office/drawing/2014/chart" uri="{C3380CC4-5D6E-409C-BE32-E72D297353CC}">
              <c16:uniqueId val="{00000001-10F5-46D7-A684-0CE378CAEB60}"/>
            </c:ext>
          </c:extLst>
        </c:ser>
        <c:dLbls>
          <c:dLblPos val="outEnd"/>
          <c:showLegendKey val="0"/>
          <c:showVal val="1"/>
          <c:showCatName val="0"/>
          <c:showSerName val="0"/>
          <c:showPercent val="0"/>
          <c:showBubbleSize val="0"/>
        </c:dLbls>
        <c:gapWidth val="219"/>
        <c:overlap val="-27"/>
        <c:axId val="1985333407"/>
        <c:axId val="1990003311"/>
      </c:barChart>
      <c:catAx>
        <c:axId val="19853334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03311"/>
        <c:crosses val="autoZero"/>
        <c:auto val="1"/>
        <c:lblAlgn val="ctr"/>
        <c:lblOffset val="100"/>
        <c:noMultiLvlLbl val="0"/>
      </c:catAx>
      <c:valAx>
        <c:axId val="199000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sales</a:t>
                </a:r>
              </a:p>
            </c:rich>
          </c:tx>
          <c:layout>
            <c:manualLayout>
              <c:xMode val="edge"/>
              <c:yMode val="edge"/>
              <c:x val="1.0841982375375895E-2"/>
              <c:y val="0.4055249343832020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3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[sales_performance_dashboard.xlsx.xlsx]charts!PivotTable4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607327106232"/>
          <c:y val="0.24038033769640899"/>
          <c:w val="0.69896019247594054"/>
          <c:h val="0.53811424613589964"/>
        </c:manualLayout>
      </c:layout>
      <c:lineChart>
        <c:grouping val="standard"/>
        <c:varyColors val="0"/>
        <c:ser>
          <c:idx val="0"/>
          <c:order val="0"/>
          <c:tx>
            <c:strRef>
              <c:f>charts!$AG$4</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charts!$AF$5:$AF$9</c:f>
              <c:strCache>
                <c:ptCount val="4"/>
                <c:pt idx="0">
                  <c:v>Jan</c:v>
                </c:pt>
                <c:pt idx="1">
                  <c:v>Feb</c:v>
                </c:pt>
                <c:pt idx="2">
                  <c:v>Mar</c:v>
                </c:pt>
                <c:pt idx="3">
                  <c:v>Aug</c:v>
                </c:pt>
              </c:strCache>
            </c:strRef>
          </c:cat>
          <c:val>
            <c:numRef>
              <c:f>charts!$AG$5:$AG$9</c:f>
              <c:numCache>
                <c:formatCode>General</c:formatCode>
                <c:ptCount val="4"/>
                <c:pt idx="0">
                  <c:v>368000</c:v>
                </c:pt>
                <c:pt idx="1">
                  <c:v>282000</c:v>
                </c:pt>
                <c:pt idx="2">
                  <c:v>135000</c:v>
                </c:pt>
                <c:pt idx="3">
                  <c:v>40000</c:v>
                </c:pt>
              </c:numCache>
            </c:numRef>
          </c:val>
          <c:smooth val="0"/>
          <c:extLst>
            <c:ext xmlns:c16="http://schemas.microsoft.com/office/drawing/2014/chart" uri="{C3380CC4-5D6E-409C-BE32-E72D297353CC}">
              <c16:uniqueId val="{00000000-9508-4DA3-BBEF-EA0F24A78796}"/>
            </c:ext>
          </c:extLst>
        </c:ser>
        <c:dLbls>
          <c:showLegendKey val="0"/>
          <c:showVal val="0"/>
          <c:showCatName val="0"/>
          <c:showSerName val="0"/>
          <c:showPercent val="0"/>
          <c:showBubbleSize val="0"/>
        </c:dLbls>
        <c:marker val="1"/>
        <c:smooth val="0"/>
        <c:axId val="1914697695"/>
        <c:axId val="1989959631"/>
      </c:lineChart>
      <c:catAx>
        <c:axId val="19146976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months</a:t>
                </a:r>
              </a:p>
            </c:rich>
          </c:tx>
          <c:layout>
            <c:manualLayout>
              <c:xMode val="edge"/>
              <c:yMode val="edge"/>
              <c:x val="0.48954291786832993"/>
              <c:y val="0.8755045586406962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959631"/>
        <c:crosses val="autoZero"/>
        <c:auto val="1"/>
        <c:lblAlgn val="ctr"/>
        <c:lblOffset val="100"/>
        <c:noMultiLvlLbl val="0"/>
      </c:catAx>
      <c:valAx>
        <c:axId val="198995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sales</a:t>
                </a:r>
              </a:p>
            </c:rich>
          </c:tx>
          <c:layout>
            <c:manualLayout>
              <c:xMode val="edge"/>
              <c:yMode val="edge"/>
              <c:x val="1.1526646518582767E-2"/>
              <c:y val="0.4099316523295859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9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218873</xdr:colOff>
      <xdr:row>10</xdr:row>
      <xdr:rowOff>63229</xdr:rowOff>
    </xdr:from>
    <xdr:to>
      <xdr:col>10</xdr:col>
      <xdr:colOff>372895</xdr:colOff>
      <xdr:row>25</xdr:row>
      <xdr:rowOff>9727</xdr:rowOff>
    </xdr:to>
    <xdr:graphicFrame macro="">
      <xdr:nvGraphicFramePr>
        <xdr:cNvPr id="4" name="Chart 3">
          <a:extLst>
            <a:ext uri="{FF2B5EF4-FFF2-40B4-BE49-F238E27FC236}">
              <a16:creationId xmlns:a16="http://schemas.microsoft.com/office/drawing/2014/main" id="{0522BF00-A02F-F0E9-253E-29FF9C1A2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405319</xdr:colOff>
      <xdr:row>10</xdr:row>
      <xdr:rowOff>111868</xdr:rowOff>
    </xdr:from>
    <xdr:to>
      <xdr:col>17</xdr:col>
      <xdr:colOff>275617</xdr:colOff>
      <xdr:row>25</xdr:row>
      <xdr:rowOff>58366</xdr:rowOff>
    </xdr:to>
    <xdr:graphicFrame macro="">
      <xdr:nvGraphicFramePr>
        <xdr:cNvPr id="5" name="Chart 4">
          <a:extLst>
            <a:ext uri="{FF2B5EF4-FFF2-40B4-BE49-F238E27FC236}">
              <a16:creationId xmlns:a16="http://schemas.microsoft.com/office/drawing/2014/main" id="{40A4A782-F7E9-B48A-17F4-2A331A6AF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607978</xdr:colOff>
      <xdr:row>10</xdr:row>
      <xdr:rowOff>128080</xdr:rowOff>
    </xdr:from>
    <xdr:to>
      <xdr:col>25</xdr:col>
      <xdr:colOff>462064</xdr:colOff>
      <xdr:row>25</xdr:row>
      <xdr:rowOff>74578</xdr:rowOff>
    </xdr:to>
    <xdr:graphicFrame macro="">
      <xdr:nvGraphicFramePr>
        <xdr:cNvPr id="6" name="Chart 5">
          <a:extLst>
            <a:ext uri="{FF2B5EF4-FFF2-40B4-BE49-F238E27FC236}">
              <a16:creationId xmlns:a16="http://schemas.microsoft.com/office/drawing/2014/main" id="{27EBA100-114E-C705-7DFB-3B8026243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267511</xdr:colOff>
      <xdr:row>9</xdr:row>
      <xdr:rowOff>184826</xdr:rowOff>
    </xdr:from>
    <xdr:to>
      <xdr:col>35</xdr:col>
      <xdr:colOff>405319</xdr:colOff>
      <xdr:row>25</xdr:row>
      <xdr:rowOff>97277</xdr:rowOff>
    </xdr:to>
    <xdr:graphicFrame macro="">
      <xdr:nvGraphicFramePr>
        <xdr:cNvPr id="7" name="Chart 6">
          <a:extLst>
            <a:ext uri="{FF2B5EF4-FFF2-40B4-BE49-F238E27FC236}">
              <a16:creationId xmlns:a16="http://schemas.microsoft.com/office/drawing/2014/main" id="{36AD891A-9979-0D81-043C-F31E79326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38100</xdr:rowOff>
    </xdr:from>
    <xdr:to>
      <xdr:col>7</xdr:col>
      <xdr:colOff>601980</xdr:colOff>
      <xdr:row>16</xdr:row>
      <xdr:rowOff>99060</xdr:rowOff>
    </xdr:to>
    <xdr:graphicFrame macro="">
      <xdr:nvGraphicFramePr>
        <xdr:cNvPr id="3" name="Chart 2">
          <a:extLst>
            <a:ext uri="{FF2B5EF4-FFF2-40B4-BE49-F238E27FC236}">
              <a16:creationId xmlns:a16="http://schemas.microsoft.com/office/drawing/2014/main" id="{C2F55748-D001-4AC3-8EB2-5C48AEE26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147205</xdr:colOff>
      <xdr:row>17</xdr:row>
      <xdr:rowOff>19051</xdr:rowOff>
    </xdr:from>
    <xdr:to>
      <xdr:col>7</xdr:col>
      <xdr:colOff>562842</xdr:colOff>
      <xdr:row>30</xdr:row>
      <xdr:rowOff>162792</xdr:rowOff>
    </xdr:to>
    <xdr:graphicFrame macro="">
      <xdr:nvGraphicFramePr>
        <xdr:cNvPr id="5" name="Chart 4">
          <a:extLst>
            <a:ext uri="{FF2B5EF4-FFF2-40B4-BE49-F238E27FC236}">
              <a16:creationId xmlns:a16="http://schemas.microsoft.com/office/drawing/2014/main" id="{5CDC6691-CE1B-46B1-80F4-B9AF5D0D7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99060</xdr:colOff>
      <xdr:row>2</xdr:row>
      <xdr:rowOff>53340</xdr:rowOff>
    </xdr:from>
    <xdr:to>
      <xdr:col>17</xdr:col>
      <xdr:colOff>15240</xdr:colOff>
      <xdr:row>16</xdr:row>
      <xdr:rowOff>7620</xdr:rowOff>
    </xdr:to>
    <xdr:graphicFrame macro="">
      <xdr:nvGraphicFramePr>
        <xdr:cNvPr id="6" name="Chart 5">
          <a:extLst>
            <a:ext uri="{FF2B5EF4-FFF2-40B4-BE49-F238E27FC236}">
              <a16:creationId xmlns:a16="http://schemas.microsoft.com/office/drawing/2014/main" id="{8AD851E6-323B-4D0C-83C4-0AA95D804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51954</xdr:colOff>
      <xdr:row>16</xdr:row>
      <xdr:rowOff>157941</xdr:rowOff>
    </xdr:from>
    <xdr:to>
      <xdr:col>17</xdr:col>
      <xdr:colOff>327660</xdr:colOff>
      <xdr:row>31</xdr:row>
      <xdr:rowOff>51261</xdr:rowOff>
    </xdr:to>
    <xdr:graphicFrame macro="">
      <xdr:nvGraphicFramePr>
        <xdr:cNvPr id="8" name="Chart 7">
          <a:extLst>
            <a:ext uri="{FF2B5EF4-FFF2-40B4-BE49-F238E27FC236}">
              <a16:creationId xmlns:a16="http://schemas.microsoft.com/office/drawing/2014/main" id="{7DFD2C85-33B2-40FF-9F1D-B4B62B4CC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548640</xdr:colOff>
      <xdr:row>1</xdr:row>
      <xdr:rowOff>175260</xdr:rowOff>
    </xdr:from>
    <xdr:ext cx="184731" cy="264560"/>
    <xdr:sp macro="" textlink="">
      <xdr:nvSpPr>
        <xdr:cNvPr id="4" name="TextBox 3">
          <a:extLst>
            <a:ext uri="{FF2B5EF4-FFF2-40B4-BE49-F238E27FC236}">
              <a16:creationId xmlns:a16="http://schemas.microsoft.com/office/drawing/2014/main" id="{36E675D4-636C-7346-98A3-18BAFBFC0017}"/>
            </a:ext>
          </a:extLst>
        </xdr:cNvPr>
        <xdr:cNvSpPr txBox="1"/>
      </xdr:nvSpPr>
      <xdr:spPr>
        <a:xfrm>
          <a:off x="5600700" y="358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8</xdr:col>
      <xdr:colOff>15240</xdr:colOff>
      <xdr:row>2</xdr:row>
      <xdr:rowOff>68580</xdr:rowOff>
    </xdr:from>
    <xdr:to>
      <xdr:col>10</xdr:col>
      <xdr:colOff>342900</xdr:colOff>
      <xdr:row>16</xdr:row>
      <xdr:rowOff>89535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383AB4C-4481-0802-464D-513AC8A6E2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45995" y="581764"/>
              <a:ext cx="1828334" cy="2633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28401</xdr:colOff>
      <xdr:row>17</xdr:row>
      <xdr:rowOff>28401</xdr:rowOff>
    </xdr:from>
    <xdr:to>
      <xdr:col>10</xdr:col>
      <xdr:colOff>359178</xdr:colOff>
      <xdr:row>31</xdr:row>
      <xdr:rowOff>63903</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69CBC1DA-C8E5-D78F-3334-EBC1B516852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59156" y="3340768"/>
              <a:ext cx="1831451" cy="2648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333930</xdr:colOff>
      <xdr:row>17</xdr:row>
      <xdr:rowOff>3472</xdr:rowOff>
    </xdr:from>
    <xdr:to>
      <xdr:col>20</xdr:col>
      <xdr:colOff>339717</xdr:colOff>
      <xdr:row>31</xdr:row>
      <xdr:rowOff>19026</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4C29F787-4EEB-E424-828E-7CDF846A3C3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732828" y="3315839"/>
              <a:ext cx="1825256" cy="2628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uja Reddy" refreshedDate="46298.76728310185" createdVersion="8" refreshedVersion="8" minRefreshableVersion="3" recordCount="15" xr:uid="{AD388240-1EED-4FC2-8997-EFE4561A55C5}">
  <cacheSource type="worksheet">
    <worksheetSource name="sales"/>
  </cacheSource>
  <cacheFields count="10">
    <cacheField name="Date" numFmtId="14">
      <sharedItems containsSemiMixedTypes="0" containsNonDate="0" containsDate="1" containsString="0" minDate="2026-01-01T00:00:00" maxDate="2026-08-02T00:00:00" count="15">
        <d v="2026-01-01T00:00:00"/>
        <d v="2026-01-03T00:00:00"/>
        <d v="2026-01-05T00:00:00"/>
        <d v="2026-08-01T00:00:00"/>
        <d v="2026-01-12T00:00:00"/>
        <d v="2026-01-15T00:00:00"/>
        <d v="2026-01-20T00:00:00"/>
        <d v="2026-01-25T00:00:00"/>
        <d v="2026-02-02T00:00:00"/>
        <d v="2026-02-07T00:00:00"/>
        <d v="2026-02-12T00:00:00"/>
        <d v="2026-02-18T00:00:00"/>
        <d v="2026-02-23T00:00:00"/>
        <d v="2026-02-28T00:00:00"/>
        <d v="2026-03-05T00:00:00"/>
      </sharedItems>
      <fieldGroup par="9"/>
    </cacheField>
    <cacheField name="Order ID" numFmtId="0">
      <sharedItems/>
    </cacheField>
    <cacheField name="Customer" numFmtId="0">
      <sharedItems/>
    </cacheField>
    <cacheField name="Region" numFmtId="0">
      <sharedItems count="4">
        <s v="South"/>
        <s v="East"/>
        <s v="west"/>
        <s v="North"/>
      </sharedItems>
    </cacheField>
    <cacheField name="Product" numFmtId="0">
      <sharedItems count="4">
        <s v="Laptop"/>
        <s v="Mobile"/>
        <s v="Headphones"/>
        <s v="Tablet"/>
      </sharedItems>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12000" maxValue="135000"/>
    </cacheField>
    <cacheField name="Profit" numFmtId="0">
      <sharedItems containsSemiMixedTypes="0" containsString="0" containsNumber="1" containsInteger="1" minValue="3000" maxValue="20000"/>
    </cacheField>
    <cacheField name="Days (Date)" numFmtId="0" databaseField="0">
      <fieldGroup base="0">
        <rangePr groupBy="days" startDate="2026-01-01T00:00:00" endDate="2026-08-02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2/2026"/>
        </groupItems>
      </fieldGroup>
    </cacheField>
    <cacheField name="Months (Date)" numFmtId="0" databaseField="0">
      <fieldGroup base="0">
        <rangePr groupBy="months" startDate="2026-01-01T00:00:00" endDate="2026-08-02T00:00:00"/>
        <groupItems count="14">
          <s v="&lt;1/1/2026"/>
          <s v="Jan"/>
          <s v="Feb"/>
          <s v="Mar"/>
          <s v="Apr"/>
          <s v="May"/>
          <s v="Jun"/>
          <s v="Jul"/>
          <s v="Aug"/>
          <s v="Sep"/>
          <s v="Oct"/>
          <s v="Nov"/>
          <s v="Dec"/>
          <s v="&gt;8/2/2026"/>
        </groupItems>
      </fieldGroup>
    </cacheField>
  </cacheFields>
  <extLst>
    <ext xmlns:x14="http://schemas.microsoft.com/office/spreadsheetml/2009/9/main" uri="{725AE2AE-9491-48be-B2B4-4EB974FC3084}">
      <x14:pivotCacheDefinition pivotCacheId="322389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ORD001"/>
    <s v="Ravi"/>
    <x v="0"/>
    <x v="0"/>
    <n v="2"/>
    <n v="90000"/>
    <n v="12000"/>
  </r>
  <r>
    <x v="1"/>
    <s v="ORD002"/>
    <s v="Priya"/>
    <x v="1"/>
    <x v="1"/>
    <n v="3"/>
    <n v="60000"/>
    <n v="9000"/>
  </r>
  <r>
    <x v="2"/>
    <s v="ORD003"/>
    <s v="Arun"/>
    <x v="2"/>
    <x v="2"/>
    <n v="5"/>
    <n v="15000"/>
    <n v="4000"/>
  </r>
  <r>
    <x v="3"/>
    <s v="ORD004"/>
    <s v="Sneha"/>
    <x v="0"/>
    <x v="3"/>
    <n v="2"/>
    <n v="40000"/>
    <n v="7000"/>
  </r>
  <r>
    <x v="4"/>
    <s v="ORD005"/>
    <s v="Kiran"/>
    <x v="3"/>
    <x v="0"/>
    <n v="1"/>
    <n v="45000"/>
    <n v="6000"/>
  </r>
  <r>
    <x v="5"/>
    <s v="ORD006"/>
    <s v="Anjali"/>
    <x v="1"/>
    <x v="1"/>
    <n v="4"/>
    <n v="80000"/>
    <n v="12000"/>
  </r>
  <r>
    <x v="6"/>
    <s v="ORD007"/>
    <s v="Rahul"/>
    <x v="2"/>
    <x v="3"/>
    <n v="3"/>
    <n v="60000"/>
    <n v="10000"/>
  </r>
  <r>
    <x v="7"/>
    <s v="ORD008"/>
    <s v="Divya"/>
    <x v="0"/>
    <x v="2"/>
    <n v="2"/>
    <n v="18000"/>
    <n v="5000"/>
  </r>
  <r>
    <x v="8"/>
    <s v="ORD009"/>
    <s v="Ravi"/>
    <x v="3"/>
    <x v="1"/>
    <n v="2"/>
    <n v="40000"/>
    <n v="6000"/>
  </r>
  <r>
    <x v="9"/>
    <s v="ORD010"/>
    <s v="Priya"/>
    <x v="1"/>
    <x v="0"/>
    <n v="2"/>
    <n v="90000"/>
    <n v="13000"/>
  </r>
  <r>
    <x v="10"/>
    <s v="ORD011"/>
    <s v="Arun"/>
    <x v="2"/>
    <x v="3"/>
    <n v="2"/>
    <n v="40000"/>
    <n v="7000"/>
  </r>
  <r>
    <x v="11"/>
    <s v="ORD012"/>
    <s v="Sneha"/>
    <x v="0"/>
    <x v="1"/>
    <n v="3"/>
    <n v="60000"/>
    <n v="9000"/>
  </r>
  <r>
    <x v="12"/>
    <s v="ORD013"/>
    <s v="Kiran"/>
    <x v="3"/>
    <x v="2"/>
    <n v="4"/>
    <n v="12000"/>
    <n v="3000"/>
  </r>
  <r>
    <x v="13"/>
    <s v="ORD014"/>
    <s v="Anjali"/>
    <x v="1"/>
    <x v="3"/>
    <n v="2"/>
    <n v="40000"/>
    <n v="7000"/>
  </r>
  <r>
    <x v="14"/>
    <s v="ORD015"/>
    <s v="Rahul"/>
    <x v="2"/>
    <x v="0"/>
    <n v="3"/>
    <n v="13500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3C49B3-EDBB-4FC2-AF83-6C0C878C122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5:H10" firstHeaderRow="1" firstDataRow="1" firstDataCol="1"/>
  <pivotFields count="10">
    <pivotField numFmtId="14" showAll="0">
      <items count="16">
        <item x="0"/>
        <item x="1"/>
        <item x="2"/>
        <item x="4"/>
        <item x="5"/>
        <item x="6"/>
        <item x="7"/>
        <item x="8"/>
        <item x="9"/>
        <item x="10"/>
        <item x="11"/>
        <item x="12"/>
        <item x="13"/>
        <item x="14"/>
        <item x="3"/>
        <item t="default"/>
      </items>
    </pivotField>
    <pivotField showAll="0"/>
    <pivotField showAll="0"/>
    <pivotField axis="axisRow" showAll="0">
      <items count="5">
        <item x="1"/>
        <item x="3"/>
        <item x="0"/>
        <item x="2"/>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6" baseField="0"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CDBBE1-60DD-496C-8CDA-9E0E4A3513C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F4:AG9" firstHeaderRow="1" firstDataRow="1" firstDataCol="1"/>
  <pivotFields count="10">
    <pivotField axis="axisRow" numFmtId="14" showAll="0">
      <items count="16">
        <item x="0"/>
        <item x="1"/>
        <item x="2"/>
        <item x="4"/>
        <item x="5"/>
        <item x="6"/>
        <item x="7"/>
        <item x="8"/>
        <item x="9"/>
        <item x="10"/>
        <item x="11"/>
        <item x="12"/>
        <item x="13"/>
        <item x="14"/>
        <item x="3"/>
        <item t="default"/>
      </items>
    </pivotField>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0"/>
  </rowFields>
  <rowItems count="5">
    <i>
      <x v="1"/>
    </i>
    <i>
      <x v="2"/>
    </i>
    <i>
      <x v="3"/>
    </i>
    <i>
      <x v="8"/>
    </i>
    <i t="grand">
      <x/>
    </i>
  </rowItems>
  <colItems count="1">
    <i/>
  </colItems>
  <dataFields count="1">
    <dataField name="Sum of Sales" fld="6"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6A5EFF-0FEB-411C-9EE7-7B11FB92B22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5:W10" firstHeaderRow="1" firstDataRow="1" firstDataCol="1"/>
  <pivotFields count="10">
    <pivotField numFmtId="14" showAll="0">
      <items count="16">
        <item x="0"/>
        <item x="1"/>
        <item x="2"/>
        <item x="4"/>
        <item x="5"/>
        <item x="6"/>
        <item x="7"/>
        <item x="8"/>
        <item x="9"/>
        <item x="10"/>
        <item x="11"/>
        <item x="12"/>
        <item x="13"/>
        <item x="14"/>
        <item x="3"/>
        <item t="default"/>
      </items>
    </pivotField>
    <pivotField showAll="0"/>
    <pivotField showAll="0"/>
    <pivotField showAll="0">
      <items count="5">
        <item x="1"/>
        <item x="3"/>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Profit"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7DE68E-2B0C-405A-8DDB-2B9A0A67507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5:N10" firstHeaderRow="1" firstDataRow="1" firstDataCol="1"/>
  <pivotFields count="10">
    <pivotField numFmtId="14" showAll="0">
      <items count="16">
        <item x="0"/>
        <item x="1"/>
        <item x="2"/>
        <item x="4"/>
        <item x="5"/>
        <item x="6"/>
        <item x="7"/>
        <item x="8"/>
        <item x="9"/>
        <item x="10"/>
        <item x="11"/>
        <item x="12"/>
        <item x="13"/>
        <item x="14"/>
        <item x="3"/>
        <item t="default"/>
      </items>
    </pivotField>
    <pivotField showAll="0"/>
    <pivotField showAll="0"/>
    <pivotField showAll="0"/>
    <pivotField axis="axisRow" showAll="0">
      <items count="5">
        <item x="2"/>
        <item x="0"/>
        <item x="1"/>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6"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E2BF6F-2B4A-4EEC-9CC0-BE62F0648ABF}" sourceName="Region">
  <pivotTables>
    <pivotTable tabId="2" name="PivotTable3"/>
  </pivotTables>
  <data>
    <tabular pivotCacheId="32238961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1DE377-5975-4950-8C83-FF1F6FF82620}" sourceName="Product">
  <pivotTables>
    <pivotTable tabId="2" name="PivotTable2"/>
  </pivotTables>
  <data>
    <tabular pivotCacheId="32238961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4BB321D-F5AE-45C8-AC47-7FCBE99A81FF}" sourceName="Months (Date)">
  <pivotTables>
    <pivotTable tabId="2" name="PivotTable4"/>
  </pivotTables>
  <data>
    <tabular pivotCacheId="322389613">
      <items count="14">
        <i x="1" s="1"/>
        <i x="2" s="1"/>
        <i x="3" s="1"/>
        <i x="8" s="1"/>
        <i x="4" s="1" nd="1"/>
        <i x="5" s="1" nd="1"/>
        <i x="6" s="1" nd="1"/>
        <i x="7"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7C0F65-C847-4BAF-B712-E8449F46B02F}" cache="Slicer_Region" caption="Region" rowHeight="247650"/>
  <slicer name="Product" xr10:uid="{A5D1DD57-F63D-42EF-9F61-EAD158889165}" cache="Slicer_Product" caption="Product" rowHeight="247650"/>
  <slicer name="Months (Date)" xr10:uid="{D146DED0-7230-4F63-A9CC-99F0BDAABB73}" cache="Slicer_Months__Date" caption="Months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ADD1D-A8D2-45B3-BC72-DAF06A678DF2}" name="sales" displayName="sales" ref="A1:H16" totalsRowShown="0" headerRowDxfId="12" dataDxfId="10" headerRowBorderDxfId="11" tableBorderDxfId="9" totalsRowBorderDxfId="8">
  <autoFilter ref="A1:H16" xr:uid="{5CDADD1D-A8D2-45B3-BC72-DAF06A678DF2}"/>
  <tableColumns count="8">
    <tableColumn id="1" xr3:uid="{26DAAB95-58F9-4EF7-8381-3ACE0E29A8CB}" name="Column1" dataDxfId="7"/>
    <tableColumn id="2" xr3:uid="{611A2D0F-D72F-41F1-B57A-EF48A3A0ACC5}" name="Order ID" dataDxfId="6"/>
    <tableColumn id="3" xr3:uid="{9A3BFE3E-926C-4E1A-B174-34D269B0C127}" name="Customer" dataDxfId="5"/>
    <tableColumn id="4" xr3:uid="{231EEC44-96B0-429B-9291-A5FFD01CA006}" name="Region" dataDxfId="4"/>
    <tableColumn id="5" xr3:uid="{5C856D6F-A539-4EBE-9FAA-B9AC05FB1D7D}" name="Product" dataDxfId="3"/>
    <tableColumn id="6" xr3:uid="{72D2C5DE-B7E8-4ADF-A324-CF8C2EC01C64}" name="Quantity" dataDxfId="2"/>
    <tableColumn id="7" xr3:uid="{2855E264-9D12-49F5-8DB3-D8F0BB2F7AFE}" name="Sales" dataDxfId="1"/>
    <tableColumn id="8" xr3:uid="{1EC11333-05EB-4670-940A-9C2F4F12FA94}"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92D98-347B-4947-9FB8-F318202AE91F}">
  <dimension ref="A1:H16"/>
  <sheetViews>
    <sheetView workbookViewId="0">
      <selection activeCell="B22" sqref="B22"/>
    </sheetView>
  </sheetViews>
  <sheetFormatPr defaultRowHeight="14.4" x14ac:dyDescent="0.3"/>
  <cols>
    <col min="1" max="1" width="10.33203125" bestFit="1" customWidth="1"/>
    <col min="2" max="2" width="11.88671875" customWidth="1"/>
    <col min="3" max="3" width="13.77734375" customWidth="1"/>
    <col min="4" max="4" width="10.44140625" customWidth="1"/>
    <col min="5" max="5" width="12.33203125" customWidth="1"/>
    <col min="6" max="6" width="11.77734375" customWidth="1"/>
    <col min="7" max="7" width="10.109375" customWidth="1"/>
    <col min="8" max="8" width="9.77734375" customWidth="1"/>
  </cols>
  <sheetData>
    <row r="1" spans="1:8" x14ac:dyDescent="0.3">
      <c r="A1" s="4" t="s">
        <v>55</v>
      </c>
      <c r="B1" s="5" t="s">
        <v>0</v>
      </c>
      <c r="C1" s="5" t="s">
        <v>1</v>
      </c>
      <c r="D1" s="5" t="s">
        <v>2</v>
      </c>
      <c r="E1" s="5" t="s">
        <v>3</v>
      </c>
      <c r="F1" s="5" t="s">
        <v>4</v>
      </c>
      <c r="G1" s="5" t="s">
        <v>5</v>
      </c>
      <c r="H1" s="6" t="s">
        <v>6</v>
      </c>
    </row>
    <row r="2" spans="1:8" x14ac:dyDescent="0.3">
      <c r="A2" s="2">
        <v>46023</v>
      </c>
      <c r="B2" s="1" t="s">
        <v>7</v>
      </c>
      <c r="C2" s="1" t="s">
        <v>8</v>
      </c>
      <c r="D2" s="1" t="s">
        <v>9</v>
      </c>
      <c r="E2" s="1" t="s">
        <v>10</v>
      </c>
      <c r="F2" s="1">
        <v>2</v>
      </c>
      <c r="G2" s="1">
        <v>90000</v>
      </c>
      <c r="H2" s="3">
        <v>12000</v>
      </c>
    </row>
    <row r="3" spans="1:8" x14ac:dyDescent="0.3">
      <c r="A3" s="2">
        <v>46025</v>
      </c>
      <c r="B3" s="1" t="s">
        <v>11</v>
      </c>
      <c r="C3" s="1" t="s">
        <v>12</v>
      </c>
      <c r="D3" s="1" t="s">
        <v>13</v>
      </c>
      <c r="E3" s="1" t="s">
        <v>14</v>
      </c>
      <c r="F3" s="1">
        <v>3</v>
      </c>
      <c r="G3" s="1">
        <v>60000</v>
      </c>
      <c r="H3" s="3">
        <v>9000</v>
      </c>
    </row>
    <row r="4" spans="1:8" x14ac:dyDescent="0.3">
      <c r="A4" s="2">
        <v>46027</v>
      </c>
      <c r="B4" s="1" t="s">
        <v>15</v>
      </c>
      <c r="C4" s="1" t="s">
        <v>16</v>
      </c>
      <c r="D4" s="1" t="s">
        <v>38</v>
      </c>
      <c r="E4" s="1" t="s">
        <v>18</v>
      </c>
      <c r="F4" s="1">
        <v>5</v>
      </c>
      <c r="G4" s="1">
        <v>15000</v>
      </c>
      <c r="H4" s="3">
        <v>4000</v>
      </c>
    </row>
    <row r="5" spans="1:8" x14ac:dyDescent="0.3">
      <c r="A5" s="2">
        <v>46235</v>
      </c>
      <c r="B5" s="1" t="s">
        <v>19</v>
      </c>
      <c r="C5" s="1" t="s">
        <v>20</v>
      </c>
      <c r="D5" s="1" t="s">
        <v>9</v>
      </c>
      <c r="E5" s="1" t="s">
        <v>21</v>
      </c>
      <c r="F5" s="1">
        <v>2</v>
      </c>
      <c r="G5" s="1">
        <v>40000</v>
      </c>
      <c r="H5" s="3">
        <v>7000</v>
      </c>
    </row>
    <row r="6" spans="1:8" x14ac:dyDescent="0.3">
      <c r="A6" s="2">
        <v>46034</v>
      </c>
      <c r="B6" s="1" t="s">
        <v>22</v>
      </c>
      <c r="C6" s="1" t="s">
        <v>23</v>
      </c>
      <c r="D6" s="1" t="s">
        <v>24</v>
      </c>
      <c r="E6" s="1" t="s">
        <v>10</v>
      </c>
      <c r="F6" s="1">
        <v>1</v>
      </c>
      <c r="G6" s="1">
        <v>45000</v>
      </c>
      <c r="H6" s="3">
        <v>6000</v>
      </c>
    </row>
    <row r="7" spans="1:8" x14ac:dyDescent="0.3">
      <c r="A7" s="2">
        <v>46037</v>
      </c>
      <c r="B7" s="1" t="s">
        <v>25</v>
      </c>
      <c r="C7" s="1" t="s">
        <v>26</v>
      </c>
      <c r="D7" s="1" t="s">
        <v>13</v>
      </c>
      <c r="E7" s="1" t="s">
        <v>14</v>
      </c>
      <c r="F7" s="1">
        <v>4</v>
      </c>
      <c r="G7" s="1">
        <v>80000</v>
      </c>
      <c r="H7" s="3">
        <v>12000</v>
      </c>
    </row>
    <row r="8" spans="1:8" x14ac:dyDescent="0.3">
      <c r="A8" s="2">
        <v>46042</v>
      </c>
      <c r="B8" s="1" t="s">
        <v>27</v>
      </c>
      <c r="C8" s="1" t="s">
        <v>28</v>
      </c>
      <c r="D8" s="1" t="s">
        <v>17</v>
      </c>
      <c r="E8" s="1" t="s">
        <v>21</v>
      </c>
      <c r="F8" s="1">
        <v>3</v>
      </c>
      <c r="G8" s="1">
        <v>60000</v>
      </c>
      <c r="H8" s="3">
        <v>10000</v>
      </c>
    </row>
    <row r="9" spans="1:8" x14ac:dyDescent="0.3">
      <c r="A9" s="2">
        <v>46047</v>
      </c>
      <c r="B9" s="1" t="s">
        <v>29</v>
      </c>
      <c r="C9" s="1" t="s">
        <v>30</v>
      </c>
      <c r="D9" s="1" t="s">
        <v>9</v>
      </c>
      <c r="E9" s="1" t="s">
        <v>18</v>
      </c>
      <c r="F9" s="1">
        <v>2</v>
      </c>
      <c r="G9" s="1">
        <v>18000</v>
      </c>
      <c r="H9" s="3">
        <v>5000</v>
      </c>
    </row>
    <row r="10" spans="1:8" x14ac:dyDescent="0.3">
      <c r="A10" s="2">
        <v>46055</v>
      </c>
      <c r="B10" s="1" t="s">
        <v>31</v>
      </c>
      <c r="C10" s="1" t="s">
        <v>8</v>
      </c>
      <c r="D10" s="1" t="s">
        <v>24</v>
      </c>
      <c r="E10" s="1" t="s">
        <v>14</v>
      </c>
      <c r="F10" s="1">
        <v>2</v>
      </c>
      <c r="G10" s="1">
        <v>40000</v>
      </c>
      <c r="H10" s="3">
        <v>6000</v>
      </c>
    </row>
    <row r="11" spans="1:8" x14ac:dyDescent="0.3">
      <c r="A11" s="2">
        <v>46060</v>
      </c>
      <c r="B11" s="1" t="s">
        <v>32</v>
      </c>
      <c r="C11" s="1" t="s">
        <v>12</v>
      </c>
      <c r="D11" s="1" t="s">
        <v>13</v>
      </c>
      <c r="E11" s="1" t="s">
        <v>10</v>
      </c>
      <c r="F11" s="1">
        <v>2</v>
      </c>
      <c r="G11" s="1">
        <v>90000</v>
      </c>
      <c r="H11" s="3">
        <v>13000</v>
      </c>
    </row>
    <row r="12" spans="1:8" x14ac:dyDescent="0.3">
      <c r="A12" s="2">
        <v>46065</v>
      </c>
      <c r="B12" s="1" t="s">
        <v>33</v>
      </c>
      <c r="C12" s="1" t="s">
        <v>16</v>
      </c>
      <c r="D12" s="1" t="s">
        <v>17</v>
      </c>
      <c r="E12" s="1" t="s">
        <v>21</v>
      </c>
      <c r="F12" s="1">
        <v>2</v>
      </c>
      <c r="G12" s="1">
        <v>40000</v>
      </c>
      <c r="H12" s="3">
        <v>7000</v>
      </c>
    </row>
    <row r="13" spans="1:8" x14ac:dyDescent="0.3">
      <c r="A13" s="2">
        <v>46071</v>
      </c>
      <c r="B13" s="1" t="s">
        <v>34</v>
      </c>
      <c r="C13" s="1" t="s">
        <v>20</v>
      </c>
      <c r="D13" s="1" t="s">
        <v>9</v>
      </c>
      <c r="E13" s="1" t="s">
        <v>14</v>
      </c>
      <c r="F13" s="1">
        <v>3</v>
      </c>
      <c r="G13" s="1">
        <v>60000</v>
      </c>
      <c r="H13" s="3">
        <v>9000</v>
      </c>
    </row>
    <row r="14" spans="1:8" x14ac:dyDescent="0.3">
      <c r="A14" s="2">
        <v>46076</v>
      </c>
      <c r="B14" s="1" t="s">
        <v>35</v>
      </c>
      <c r="C14" s="1" t="s">
        <v>23</v>
      </c>
      <c r="D14" s="1" t="s">
        <v>24</v>
      </c>
      <c r="E14" s="1" t="s">
        <v>18</v>
      </c>
      <c r="F14" s="1">
        <v>4</v>
      </c>
      <c r="G14" s="1">
        <v>12000</v>
      </c>
      <c r="H14" s="3">
        <v>3000</v>
      </c>
    </row>
    <row r="15" spans="1:8" x14ac:dyDescent="0.3">
      <c r="A15" s="2">
        <v>46081</v>
      </c>
      <c r="B15" s="1" t="s">
        <v>36</v>
      </c>
      <c r="C15" s="1" t="s">
        <v>26</v>
      </c>
      <c r="D15" s="1" t="s">
        <v>13</v>
      </c>
      <c r="E15" s="1" t="s">
        <v>21</v>
      </c>
      <c r="F15" s="1">
        <v>2</v>
      </c>
      <c r="G15" s="1">
        <v>40000</v>
      </c>
      <c r="H15" s="3">
        <v>7000</v>
      </c>
    </row>
    <row r="16" spans="1:8" x14ac:dyDescent="0.3">
      <c r="A16" s="7">
        <v>46086</v>
      </c>
      <c r="B16" s="8" t="s">
        <v>37</v>
      </c>
      <c r="C16" s="8" t="s">
        <v>28</v>
      </c>
      <c r="D16" s="8" t="s">
        <v>17</v>
      </c>
      <c r="E16" s="8" t="s">
        <v>10</v>
      </c>
      <c r="F16" s="8">
        <v>3</v>
      </c>
      <c r="G16" s="8">
        <v>135000</v>
      </c>
      <c r="H16" s="9">
        <v>20000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AD89-94E3-4E38-BF2F-0C4555F9016D}">
  <dimension ref="A1:AG10"/>
  <sheetViews>
    <sheetView topLeftCell="Q1" zoomScale="94" zoomScaleNormal="94" workbookViewId="0">
      <selection activeCell="AC21" sqref="AC21"/>
    </sheetView>
  </sheetViews>
  <sheetFormatPr defaultRowHeight="14.4" x14ac:dyDescent="0.3"/>
  <cols>
    <col min="1" max="1" width="9.6640625" bestFit="1" customWidth="1"/>
    <col min="2" max="2" width="9.77734375" bestFit="1" customWidth="1"/>
    <col min="3" max="3" width="12.5546875" bestFit="1" customWidth="1"/>
    <col min="4" max="4" width="15.6640625" bestFit="1" customWidth="1"/>
    <col min="7" max="7" width="13" bestFit="1" customWidth="1"/>
    <col min="8" max="8" width="11.77734375" bestFit="1" customWidth="1"/>
    <col min="10" max="10" width="13" bestFit="1" customWidth="1"/>
    <col min="11" max="11" width="11.77734375" bestFit="1" customWidth="1"/>
    <col min="12" max="12" width="15.5546875" bestFit="1" customWidth="1"/>
    <col min="13" max="13" width="13" bestFit="1" customWidth="1"/>
    <col min="14" max="14" width="11.77734375" bestFit="1" customWidth="1"/>
    <col min="15" max="15" width="10.5546875" bestFit="1" customWidth="1"/>
    <col min="18" max="18" width="13" bestFit="1" customWidth="1"/>
    <col min="19" max="19" width="11.77734375" bestFit="1" customWidth="1"/>
    <col min="22" max="22" width="13" bestFit="1" customWidth="1"/>
    <col min="23" max="23" width="11.6640625" bestFit="1" customWidth="1"/>
    <col min="32" max="32" width="13" bestFit="1" customWidth="1"/>
    <col min="33" max="33" width="11.77734375" bestFit="1" customWidth="1"/>
  </cols>
  <sheetData>
    <row r="1" spans="1:33" x14ac:dyDescent="0.3">
      <c r="A1" s="10" t="s">
        <v>39</v>
      </c>
      <c r="B1" s="10" t="s">
        <v>40</v>
      </c>
      <c r="C1" s="10" t="s">
        <v>41</v>
      </c>
      <c r="D1" s="10" t="s">
        <v>42</v>
      </c>
    </row>
    <row r="2" spans="1:33" x14ac:dyDescent="0.3">
      <c r="A2" s="11">
        <f>SUM(sales[Sales])</f>
        <v>825000</v>
      </c>
      <c r="B2" s="11">
        <f>SUM(sales[Profit])</f>
        <v>130000</v>
      </c>
      <c r="C2" s="11">
        <f>AVERAGE(sales[Sales])</f>
        <v>55000</v>
      </c>
      <c r="D2" s="11">
        <f>COUNTA(sales[Order ID])</f>
        <v>15</v>
      </c>
      <c r="AF2" s="14" t="s">
        <v>54</v>
      </c>
    </row>
    <row r="3" spans="1:33" x14ac:dyDescent="0.3">
      <c r="G3" s="14" t="s">
        <v>46</v>
      </c>
      <c r="M3" s="14" t="s">
        <v>47</v>
      </c>
      <c r="V3" s="14" t="s">
        <v>49</v>
      </c>
    </row>
    <row r="4" spans="1:33" x14ac:dyDescent="0.3">
      <c r="AF4" s="12" t="s">
        <v>43</v>
      </c>
      <c r="AG4" t="s">
        <v>45</v>
      </c>
    </row>
    <row r="5" spans="1:33" x14ac:dyDescent="0.3">
      <c r="G5" s="12" t="s">
        <v>43</v>
      </c>
      <c r="H5" t="s">
        <v>45</v>
      </c>
      <c r="M5" s="12" t="s">
        <v>43</v>
      </c>
      <c r="N5" t="s">
        <v>45</v>
      </c>
      <c r="V5" s="12" t="s">
        <v>43</v>
      </c>
      <c r="W5" t="s">
        <v>48</v>
      </c>
      <c r="AF5" s="13" t="s">
        <v>50</v>
      </c>
      <c r="AG5">
        <v>368000</v>
      </c>
    </row>
    <row r="6" spans="1:33" x14ac:dyDescent="0.3">
      <c r="G6" s="13" t="s">
        <v>13</v>
      </c>
      <c r="H6">
        <v>270000</v>
      </c>
      <c r="M6" s="13" t="s">
        <v>18</v>
      </c>
      <c r="N6">
        <v>45000</v>
      </c>
      <c r="V6" s="13" t="s">
        <v>18</v>
      </c>
      <c r="W6">
        <v>12000</v>
      </c>
      <c r="AF6" s="13" t="s">
        <v>51</v>
      </c>
      <c r="AG6">
        <v>282000</v>
      </c>
    </row>
    <row r="7" spans="1:33" x14ac:dyDescent="0.3">
      <c r="G7" s="13" t="s">
        <v>24</v>
      </c>
      <c r="H7">
        <v>97000</v>
      </c>
      <c r="M7" s="13" t="s">
        <v>10</v>
      </c>
      <c r="N7">
        <v>360000</v>
      </c>
      <c r="V7" s="13" t="s">
        <v>10</v>
      </c>
      <c r="W7">
        <v>51000</v>
      </c>
      <c r="AF7" s="13" t="s">
        <v>52</v>
      </c>
      <c r="AG7">
        <v>135000</v>
      </c>
    </row>
    <row r="8" spans="1:33" x14ac:dyDescent="0.3">
      <c r="G8" s="13" t="s">
        <v>9</v>
      </c>
      <c r="H8">
        <v>208000</v>
      </c>
      <c r="M8" s="13" t="s">
        <v>14</v>
      </c>
      <c r="N8">
        <v>240000</v>
      </c>
      <c r="V8" s="13" t="s">
        <v>14</v>
      </c>
      <c r="W8">
        <v>36000</v>
      </c>
      <c r="AF8" s="13" t="s">
        <v>53</v>
      </c>
      <c r="AG8">
        <v>40000</v>
      </c>
    </row>
    <row r="9" spans="1:33" x14ac:dyDescent="0.3">
      <c r="G9" s="13" t="s">
        <v>38</v>
      </c>
      <c r="H9">
        <v>250000</v>
      </c>
      <c r="M9" s="13" t="s">
        <v>21</v>
      </c>
      <c r="N9">
        <v>180000</v>
      </c>
      <c r="V9" s="13" t="s">
        <v>21</v>
      </c>
      <c r="W9">
        <v>31000</v>
      </c>
      <c r="AF9" s="13" t="s">
        <v>44</v>
      </c>
      <c r="AG9">
        <v>825000</v>
      </c>
    </row>
    <row r="10" spans="1:33" x14ac:dyDescent="0.3">
      <c r="G10" s="13" t="s">
        <v>44</v>
      </c>
      <c r="H10">
        <v>825000</v>
      </c>
      <c r="M10" s="13" t="s">
        <v>44</v>
      </c>
      <c r="N10">
        <v>825000</v>
      </c>
      <c r="V10" s="13" t="s">
        <v>44</v>
      </c>
      <c r="W10">
        <v>130000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F6E5-6FB8-4BD4-B7E8-F48D9BE24D12}">
  <dimension ref="A1:W5"/>
  <sheetViews>
    <sheetView tabSelected="1" topLeftCell="B1" zoomScale="98" zoomScaleNormal="98" workbookViewId="0">
      <selection activeCell="S11" sqref="S11"/>
    </sheetView>
  </sheetViews>
  <sheetFormatPr defaultRowHeight="14.4" x14ac:dyDescent="0.3"/>
  <cols>
    <col min="2" max="2" width="11" customWidth="1"/>
    <col min="7" max="7" width="9.33203125" customWidth="1"/>
    <col min="9" max="9" width="13" customWidth="1"/>
    <col min="12" max="12" width="12.77734375" customWidth="1"/>
    <col min="17" max="17" width="14" customWidth="1"/>
  </cols>
  <sheetData>
    <row r="1" spans="1:23" x14ac:dyDescent="0.3">
      <c r="A1" s="17" t="s">
        <v>56</v>
      </c>
      <c r="B1" s="17"/>
      <c r="C1" s="17"/>
      <c r="D1" s="17"/>
      <c r="E1" s="17"/>
      <c r="F1" s="17"/>
      <c r="G1" s="17"/>
      <c r="H1" s="17"/>
      <c r="I1" s="17"/>
      <c r="J1" s="17"/>
      <c r="K1" s="17"/>
      <c r="L1" s="17"/>
      <c r="M1" s="17"/>
      <c r="N1" s="17"/>
      <c r="O1" s="17"/>
      <c r="P1" s="17"/>
      <c r="Q1" s="17"/>
      <c r="R1" s="17"/>
      <c r="S1" s="17"/>
      <c r="T1" s="17"/>
      <c r="U1" s="17"/>
    </row>
    <row r="2" spans="1:23" ht="25.8" x14ac:dyDescent="0.5">
      <c r="A2" s="17"/>
      <c r="B2" s="17"/>
      <c r="C2" s="17"/>
      <c r="D2" s="17"/>
      <c r="E2" s="17"/>
      <c r="F2" s="17"/>
      <c r="G2" s="17"/>
      <c r="H2" s="17"/>
      <c r="I2" s="17"/>
      <c r="J2" s="17"/>
      <c r="K2" s="17"/>
      <c r="L2" s="17"/>
      <c r="M2" s="17"/>
      <c r="N2" s="17"/>
      <c r="O2" s="17"/>
      <c r="P2" s="17"/>
      <c r="Q2" s="17"/>
      <c r="R2" s="17"/>
      <c r="S2" s="17"/>
      <c r="T2" s="17"/>
      <c r="U2" s="17"/>
      <c r="V2" s="16"/>
    </row>
    <row r="3" spans="1:23" x14ac:dyDescent="0.3">
      <c r="L3" s="14"/>
      <c r="W3" s="14"/>
    </row>
    <row r="4" spans="1:23" x14ac:dyDescent="0.3">
      <c r="B4" s="14"/>
      <c r="I4" s="14"/>
      <c r="P4" s="14"/>
      <c r="Q4" s="14"/>
      <c r="W4" s="15"/>
    </row>
    <row r="5" spans="1:23" x14ac:dyDescent="0.3">
      <c r="B5" s="15"/>
      <c r="I5" s="15"/>
      <c r="P5" s="15"/>
      <c r="Q5" s="15"/>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charts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Thanuja Reddy</dc:creator>
  <cp:lastModifiedBy>Thanuja Reddy</cp:lastModifiedBy>
  <dcterms:created xsi:type="dcterms:W3CDTF">2026-09-18T06:25:09Z</dcterms:created>
  <dcterms:modified xsi:type="dcterms:W3CDTF">2026-10-14T08:55:08Z</dcterms:modified>
</cp:coreProperties>
</file>